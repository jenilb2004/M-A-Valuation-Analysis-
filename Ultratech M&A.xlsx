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aniya\OneDrive\Desktop\Capstone\"/>
    </mc:Choice>
  </mc:AlternateContent>
  <xr:revisionPtr revIDLastSave="0" documentId="13_ncr:1_{D7421F9A-6227-4827-BA05-1350117CA435}" xr6:coauthVersionLast="47" xr6:coauthVersionMax="47" xr10:uidLastSave="{00000000-0000-0000-0000-000000000000}"/>
  <bookViews>
    <workbookView xWindow="-108" yWindow="-108" windowWidth="23256" windowHeight="12456" firstSheet="1" activeTab="11" xr2:uid="{9CFA9676-9508-4F5C-919C-75562723A311}"/>
  </bookViews>
  <sheets>
    <sheet name="Data Sheet" sheetId="2" r:id="rId1"/>
    <sheet name="IS" sheetId="5" r:id="rId2"/>
    <sheet name="Plan" sheetId="6" r:id="rId3"/>
    <sheet name="Finance" sheetId="8" r:id="rId4"/>
    <sheet name="Synergy" sheetId="9" r:id="rId5"/>
    <sheet name="Accretion-Dilution" sheetId="13" r:id="rId6"/>
    <sheet name="Ratios" sheetId="10" r:id="rId7"/>
    <sheet name="CCA" sheetId="12" r:id="rId8"/>
    <sheet name="Industry Analysis" sheetId="11" r:id="rId9"/>
    <sheet name="Rm" sheetId="4" r:id="rId10"/>
    <sheet name="TV" sheetId="15" r:id="rId11"/>
    <sheet name="Option Rollover" sheetId="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2" l="1"/>
  <c r="J21" i="12" s="1"/>
  <c r="G33" i="13"/>
  <c r="L14" i="9"/>
  <c r="L64" i="9"/>
  <c r="G5" i="4"/>
  <c r="L19" i="12"/>
  <c r="K19" i="12"/>
  <c r="L15" i="9"/>
  <c r="L16" i="9"/>
  <c r="L17" i="9"/>
  <c r="L19" i="9"/>
  <c r="L20" i="9"/>
  <c r="L21" i="9"/>
  <c r="L22" i="9"/>
  <c r="L24" i="9"/>
  <c r="L25" i="9"/>
  <c r="L26" i="9"/>
  <c r="L27" i="9"/>
  <c r="L29" i="9"/>
  <c r="L30" i="9"/>
  <c r="L31" i="9"/>
  <c r="L32" i="9"/>
  <c r="L34" i="9"/>
  <c r="L35" i="9"/>
  <c r="L36" i="9"/>
  <c r="L37" i="9"/>
  <c r="L39" i="9"/>
  <c r="L40" i="9"/>
  <c r="L41" i="9"/>
  <c r="L42" i="9"/>
  <c r="L44" i="9"/>
  <c r="L45" i="9"/>
  <c r="L46" i="9"/>
  <c r="L47" i="9"/>
  <c r="L49" i="9"/>
  <c r="L50" i="9"/>
  <c r="L51" i="9"/>
  <c r="L52" i="9"/>
  <c r="L54" i="9"/>
  <c r="L55" i="9"/>
  <c r="L56" i="9"/>
  <c r="L57" i="9"/>
  <c r="L59" i="9"/>
  <c r="L60" i="9"/>
  <c r="L61" i="9"/>
  <c r="L62" i="9"/>
  <c r="L65" i="9"/>
  <c r="L66" i="9"/>
  <c r="L67" i="9"/>
  <c r="F4" i="8"/>
  <c r="F38" i="2"/>
  <c r="F5" i="7" l="1"/>
  <c r="F6" i="7" s="1"/>
  <c r="F8" i="7" s="1"/>
  <c r="F10" i="7" s="1"/>
  <c r="F88" i="2"/>
  <c r="B19" i="15"/>
  <c r="B18" i="15"/>
  <c r="B17" i="15"/>
  <c r="B16" i="15"/>
  <c r="G42" i="5"/>
  <c r="F46" i="5"/>
  <c r="F42" i="5"/>
  <c r="H42" i="5"/>
  <c r="I42" i="5"/>
  <c r="J42" i="5"/>
  <c r="G46" i="5"/>
  <c r="H46" i="5"/>
  <c r="I46" i="5"/>
  <c r="J46" i="5"/>
  <c r="H98" i="2" l="1"/>
  <c r="I98" i="2" s="1"/>
  <c r="J98" i="2" s="1"/>
  <c r="K98" i="2" s="1"/>
  <c r="F56" i="5" l="1"/>
  <c r="F54" i="5"/>
  <c r="J56" i="5"/>
  <c r="H16" i="12" l="1"/>
  <c r="G16" i="12"/>
  <c r="G13" i="12"/>
  <c r="G15" i="12"/>
  <c r="I16" i="12"/>
  <c r="H13" i="12"/>
  <c r="I13" i="12"/>
  <c r="H14" i="12"/>
  <c r="I14" i="12"/>
  <c r="H15" i="12"/>
  <c r="I15" i="12"/>
  <c r="G14" i="12"/>
  <c r="I16" i="11"/>
  <c r="J16" i="11"/>
  <c r="K16" i="11"/>
  <c r="L16" i="11"/>
  <c r="M16" i="11"/>
  <c r="N16" i="11"/>
  <c r="O16" i="11"/>
  <c r="P16" i="11"/>
  <c r="I17" i="11"/>
  <c r="J17" i="11"/>
  <c r="K17" i="11"/>
  <c r="L17" i="11"/>
  <c r="N17" i="11"/>
  <c r="O17" i="11"/>
  <c r="P17" i="11"/>
  <c r="I18" i="11"/>
  <c r="J18" i="11"/>
  <c r="K18" i="11"/>
  <c r="L18" i="11"/>
  <c r="N18" i="11"/>
  <c r="O18" i="11"/>
  <c r="P18" i="11"/>
  <c r="I19" i="11"/>
  <c r="J19" i="11"/>
  <c r="K19" i="11"/>
  <c r="L19" i="11"/>
  <c r="M19" i="11"/>
  <c r="N19" i="11"/>
  <c r="O19" i="11"/>
  <c r="P19" i="11"/>
  <c r="H19" i="11"/>
  <c r="H18" i="11"/>
  <c r="H17" i="11"/>
  <c r="H16" i="11"/>
  <c r="H39" i="13" l="1"/>
  <c r="I39" i="13"/>
  <c r="J39" i="13"/>
  <c r="K39" i="13"/>
  <c r="L39" i="13"/>
  <c r="G39" i="13"/>
  <c r="C41" i="13"/>
  <c r="C42" i="13"/>
  <c r="C43" i="13"/>
  <c r="C44" i="13"/>
  <c r="C40" i="13"/>
  <c r="C34" i="13"/>
  <c r="C35" i="13"/>
  <c r="C36" i="13"/>
  <c r="C37" i="13"/>
  <c r="C33" i="13"/>
  <c r="H25" i="13"/>
  <c r="I25" i="13"/>
  <c r="J25" i="13"/>
  <c r="K25" i="13"/>
  <c r="L25" i="13"/>
  <c r="G25" i="13"/>
  <c r="C30" i="13"/>
  <c r="C27" i="13"/>
  <c r="C28" i="13"/>
  <c r="C29" i="13"/>
  <c r="C26" i="13"/>
  <c r="C19" i="13"/>
  <c r="C20" i="13"/>
  <c r="C21" i="13"/>
  <c r="C22" i="13"/>
  <c r="C18" i="13"/>
  <c r="G38" i="5"/>
  <c r="H38" i="5"/>
  <c r="I38" i="5"/>
  <c r="J38" i="5"/>
  <c r="G39" i="5"/>
  <c r="H39" i="5"/>
  <c r="I39" i="5"/>
  <c r="J39" i="5"/>
  <c r="G50" i="5"/>
  <c r="H50" i="5"/>
  <c r="I50" i="5"/>
  <c r="J50" i="5"/>
  <c r="G54" i="5"/>
  <c r="H54" i="5"/>
  <c r="I54" i="5"/>
  <c r="J54" i="5"/>
  <c r="G56" i="5"/>
  <c r="H56" i="5"/>
  <c r="I56" i="5"/>
  <c r="G58" i="5"/>
  <c r="H58" i="5"/>
  <c r="I58" i="5"/>
  <c r="J58" i="5"/>
  <c r="G61" i="5"/>
  <c r="H61" i="5"/>
  <c r="I61" i="5"/>
  <c r="J61" i="5"/>
  <c r="F77" i="2"/>
  <c r="I40" i="5" l="1"/>
  <c r="I43" i="5" s="1"/>
  <c r="H40" i="5"/>
  <c r="H43" i="5" s="1"/>
  <c r="G40" i="5"/>
  <c r="G51" i="5" s="1"/>
  <c r="K38" i="5"/>
  <c r="J40" i="5"/>
  <c r="J51" i="5" s="1"/>
  <c r="K39" i="5"/>
  <c r="I55" i="5"/>
  <c r="H44" i="5" l="1"/>
  <c r="H48" i="5" s="1"/>
  <c r="H49" i="5" s="1"/>
  <c r="I41" i="5"/>
  <c r="I47" i="5"/>
  <c r="H55" i="5"/>
  <c r="I44" i="5"/>
  <c r="I45" i="5" s="1"/>
  <c r="G44" i="5"/>
  <c r="G48" i="5" s="1"/>
  <c r="G52" i="5" s="1"/>
  <c r="H51" i="5"/>
  <c r="G55" i="5"/>
  <c r="I51" i="5"/>
  <c r="H57" i="5"/>
  <c r="G57" i="5"/>
  <c r="I57" i="5"/>
  <c r="G47" i="5"/>
  <c r="G43" i="5"/>
  <c r="H47" i="5"/>
  <c r="H41" i="5"/>
  <c r="H45" i="5"/>
  <c r="J44" i="5"/>
  <c r="J41" i="5"/>
  <c r="J57" i="5"/>
  <c r="J47" i="5"/>
  <c r="I48" i="5"/>
  <c r="I52" i="5" s="1"/>
  <c r="K40" i="5"/>
  <c r="J43" i="5"/>
  <c r="J55" i="5"/>
  <c r="G49" i="5" l="1"/>
  <c r="G45" i="5"/>
  <c r="H52" i="5"/>
  <c r="H59" i="5" s="1"/>
  <c r="H60" i="5" s="1"/>
  <c r="I49" i="5"/>
  <c r="G53" i="5"/>
  <c r="K46" i="5"/>
  <c r="H53" i="5"/>
  <c r="J45" i="5"/>
  <c r="J48" i="5"/>
  <c r="I53" i="5"/>
  <c r="I59" i="5"/>
  <c r="I60" i="5" s="1"/>
  <c r="G59" i="5"/>
  <c r="G60" i="5" s="1"/>
  <c r="J49" i="5" l="1"/>
  <c r="J52" i="5"/>
  <c r="H63" i="5"/>
  <c r="H62" i="5"/>
  <c r="G63" i="5"/>
  <c r="G62" i="5"/>
  <c r="I63" i="5"/>
  <c r="I62" i="5"/>
  <c r="J59" i="5" l="1"/>
  <c r="J53" i="5"/>
  <c r="G29" i="10"/>
  <c r="H29" i="10"/>
  <c r="I29" i="10"/>
  <c r="J29" i="10"/>
  <c r="G30" i="10"/>
  <c r="H30" i="10"/>
  <c r="I30" i="10"/>
  <c r="J30" i="10"/>
  <c r="G31" i="10"/>
  <c r="H31" i="10"/>
  <c r="I31" i="10"/>
  <c r="J31" i="10"/>
  <c r="G32" i="10"/>
  <c r="H32" i="10"/>
  <c r="I32" i="10"/>
  <c r="J60" i="5" l="1"/>
  <c r="J63" i="5"/>
  <c r="J62" i="5"/>
  <c r="J32" i="10" l="1"/>
  <c r="K13" i="12"/>
  <c r="L13" i="12"/>
  <c r="K14" i="12"/>
  <c r="L14" i="12"/>
  <c r="K15" i="12"/>
  <c r="L15" i="12"/>
  <c r="K16" i="12"/>
  <c r="L16" i="12"/>
  <c r="J8" i="12"/>
  <c r="J6" i="12"/>
  <c r="J7" i="12"/>
  <c r="J9" i="12"/>
  <c r="J10" i="12"/>
  <c r="J11" i="12"/>
  <c r="J5" i="12"/>
  <c r="H1" i="10"/>
  <c r="I1" i="10"/>
  <c r="J1" i="10"/>
  <c r="K1" i="10"/>
  <c r="L1" i="10"/>
  <c r="M1" i="10"/>
  <c r="N1" i="10"/>
  <c r="O1" i="10"/>
  <c r="G1" i="10"/>
  <c r="J16" i="12" l="1"/>
  <c r="J13" i="12"/>
  <c r="J14" i="12"/>
  <c r="J15" i="12"/>
  <c r="F76" i="2"/>
  <c r="F74" i="2" s="1"/>
  <c r="F8" i="2"/>
  <c r="F6" i="2"/>
  <c r="F49" i="2"/>
  <c r="H4" i="6"/>
  <c r="G11" i="6" s="1"/>
  <c r="G4" i="6"/>
  <c r="F4" i="9" l="1"/>
  <c r="F5" i="9"/>
  <c r="G34" i="10"/>
  <c r="I34" i="10"/>
  <c r="H34" i="10"/>
  <c r="L20" i="12"/>
  <c r="L21" i="12" s="1"/>
  <c r="K20" i="12"/>
  <c r="K21" i="12" s="1"/>
  <c r="J34" i="10"/>
  <c r="G35" i="10"/>
  <c r="J20" i="12"/>
  <c r="H35" i="10"/>
  <c r="I35" i="10"/>
  <c r="J35" i="10"/>
  <c r="G19" i="6"/>
  <c r="J22" i="12"/>
  <c r="L22" i="12"/>
  <c r="K22" i="12"/>
  <c r="L11" i="6"/>
  <c r="K11" i="6"/>
  <c r="I11" i="6"/>
  <c r="H11" i="6"/>
  <c r="J11" i="6"/>
  <c r="J23" i="12" l="1"/>
  <c r="K23" i="12"/>
  <c r="L23" i="12"/>
  <c r="J19" i="6"/>
  <c r="I19" i="6"/>
  <c r="K19" i="6"/>
  <c r="L19" i="6"/>
  <c r="H19" i="6"/>
  <c r="G7" i="6" l="1"/>
  <c r="H6" i="6"/>
  <c r="H8" i="6" s="1"/>
  <c r="G12" i="6" s="1"/>
  <c r="G14" i="6" s="1"/>
  <c r="G6" i="6"/>
  <c r="L58" i="5"/>
  <c r="M58" i="5"/>
  <c r="N58" i="5"/>
  <c r="O58" i="5"/>
  <c r="K58" i="5"/>
  <c r="F61" i="5"/>
  <c r="F58" i="5"/>
  <c r="F50" i="5"/>
  <c r="F39" i="5"/>
  <c r="F38" i="5"/>
  <c r="G17" i="5"/>
  <c r="H17" i="5"/>
  <c r="I17" i="5"/>
  <c r="J17" i="5"/>
  <c r="G21" i="5"/>
  <c r="H21" i="5"/>
  <c r="I21" i="5"/>
  <c r="J21" i="5"/>
  <c r="G25" i="5"/>
  <c r="H25" i="5"/>
  <c r="I25" i="5"/>
  <c r="J25" i="5"/>
  <c r="F8" i="9" s="1"/>
  <c r="G27" i="5"/>
  <c r="H27" i="5"/>
  <c r="I27" i="5"/>
  <c r="J27" i="5"/>
  <c r="G29" i="5"/>
  <c r="H29" i="5"/>
  <c r="I29" i="5"/>
  <c r="J29" i="5"/>
  <c r="G32" i="5"/>
  <c r="H32" i="5"/>
  <c r="I32" i="5"/>
  <c r="J32" i="5"/>
  <c r="F29" i="5"/>
  <c r="F40" i="5" l="1"/>
  <c r="F51" i="5" s="1"/>
  <c r="G9" i="8"/>
  <c r="G8" i="8"/>
  <c r="G8" i="6"/>
  <c r="H12" i="6"/>
  <c r="J12" i="6"/>
  <c r="L12" i="6"/>
  <c r="I12" i="6"/>
  <c r="K12" i="6"/>
  <c r="G23" i="10"/>
  <c r="M51" i="5" l="1"/>
  <c r="N51" i="5"/>
  <c r="O51" i="5"/>
  <c r="K51" i="5"/>
  <c r="K50" i="5" s="1"/>
  <c r="L51" i="5"/>
  <c r="F43" i="5"/>
  <c r="F55" i="5"/>
  <c r="F57" i="5"/>
  <c r="F47" i="5"/>
  <c r="G41" i="5"/>
  <c r="J23" i="10"/>
  <c r="H23" i="10"/>
  <c r="I23" i="10"/>
  <c r="F44" i="5"/>
  <c r="K14" i="6"/>
  <c r="K15" i="6" s="1"/>
  <c r="K16" i="6" s="1"/>
  <c r="K8" i="8"/>
  <c r="K9" i="8"/>
  <c r="I8" i="8"/>
  <c r="I14" i="6"/>
  <c r="I9" i="8"/>
  <c r="L14" i="6"/>
  <c r="L9" i="8"/>
  <c r="L8" i="8"/>
  <c r="J14" i="6"/>
  <c r="J15" i="6" s="1"/>
  <c r="J16" i="6" s="1"/>
  <c r="J8" i="8"/>
  <c r="J9" i="8"/>
  <c r="H8" i="8"/>
  <c r="H9" i="8"/>
  <c r="H14" i="6"/>
  <c r="H15" i="6" s="1"/>
  <c r="H16" i="6" s="1"/>
  <c r="K13" i="6"/>
  <c r="I13" i="6"/>
  <c r="L13" i="6"/>
  <c r="J13" i="6"/>
  <c r="H13" i="6"/>
  <c r="G15" i="6"/>
  <c r="G16" i="6" s="1"/>
  <c r="O57" i="5" l="1"/>
  <c r="K57" i="5"/>
  <c r="K56" i="5" s="1"/>
  <c r="L57" i="5"/>
  <c r="M57" i="5"/>
  <c r="N57" i="5"/>
  <c r="N55" i="5"/>
  <c r="O55" i="5"/>
  <c r="L55" i="5"/>
  <c r="M55" i="5"/>
  <c r="K55" i="5"/>
  <c r="K54" i="5" s="1"/>
  <c r="K43" i="5"/>
  <c r="M43" i="5"/>
  <c r="L43" i="5"/>
  <c r="N43" i="5"/>
  <c r="O43" i="5"/>
  <c r="F48" i="5"/>
  <c r="F30" i="10" s="1"/>
  <c r="F45" i="5"/>
  <c r="F29" i="10"/>
  <c r="G15" i="9"/>
  <c r="K23" i="10"/>
  <c r="H24" i="10"/>
  <c r="I24" i="10"/>
  <c r="G24" i="10"/>
  <c r="J24" i="10"/>
  <c r="I15" i="6"/>
  <c r="I16" i="6" s="1"/>
  <c r="I20" i="6"/>
  <c r="I21" i="6"/>
  <c r="H21" i="6"/>
  <c r="H20" i="6"/>
  <c r="J20" i="6"/>
  <c r="J21" i="6"/>
  <c r="L21" i="6"/>
  <c r="L20" i="6"/>
  <c r="L15" i="6"/>
  <c r="L16" i="6" s="1"/>
  <c r="K21" i="6"/>
  <c r="K20" i="6"/>
  <c r="K42" i="5" l="1"/>
  <c r="K44" i="5" s="1"/>
  <c r="F52" i="5"/>
  <c r="F59" i="5" s="1"/>
  <c r="F63" i="5" s="1"/>
  <c r="F49" i="5"/>
  <c r="I25" i="10"/>
  <c r="H25" i="10"/>
  <c r="G25" i="10"/>
  <c r="J25" i="10"/>
  <c r="F34" i="10" l="1"/>
  <c r="F53" i="5"/>
  <c r="K48" i="5"/>
  <c r="K49" i="5" s="1"/>
  <c r="K45" i="5"/>
  <c r="F60" i="5"/>
  <c r="F31" i="10"/>
  <c r="F62" i="5"/>
  <c r="O62" i="5" s="1"/>
  <c r="N62" i="5"/>
  <c r="F32" i="10"/>
  <c r="F35" i="10"/>
  <c r="G20" i="9"/>
  <c r="I26" i="10"/>
  <c r="H26" i="10"/>
  <c r="G26" i="10"/>
  <c r="J26" i="10"/>
  <c r="M62" i="5" l="1"/>
  <c r="L62" i="5"/>
  <c r="K62" i="5"/>
  <c r="G25" i="9"/>
  <c r="K29" i="10"/>
  <c r="K24" i="10"/>
  <c r="I27" i="10"/>
  <c r="H27" i="10"/>
  <c r="J27" i="10"/>
  <c r="F32" i="5"/>
  <c r="F27" i="5"/>
  <c r="F25" i="5"/>
  <c r="F21" i="5"/>
  <c r="F17" i="5"/>
  <c r="G13" i="5"/>
  <c r="H13" i="5"/>
  <c r="I13" i="5"/>
  <c r="J13" i="5"/>
  <c r="G27" i="10" l="1"/>
  <c r="F10" i="5" l="1"/>
  <c r="G10" i="5"/>
  <c r="H10" i="5"/>
  <c r="I10" i="5"/>
  <c r="J10" i="5"/>
  <c r="F8" i="5"/>
  <c r="G8" i="5"/>
  <c r="H8" i="5"/>
  <c r="I8" i="5"/>
  <c r="J8" i="5"/>
  <c r="F9" i="5"/>
  <c r="G9" i="5"/>
  <c r="H9" i="5"/>
  <c r="I9" i="5"/>
  <c r="J9" i="5"/>
  <c r="G7" i="5"/>
  <c r="H7" i="5"/>
  <c r="I7" i="5"/>
  <c r="J7" i="5"/>
  <c r="F7" i="5"/>
  <c r="F11" i="5" l="1"/>
  <c r="I11" i="5"/>
  <c r="J11" i="5"/>
  <c r="J6" i="10" s="1"/>
  <c r="H11" i="5"/>
  <c r="G11" i="5"/>
  <c r="H6" i="10" l="1"/>
  <c r="I6" i="10"/>
  <c r="G6" i="10"/>
  <c r="I14" i="5"/>
  <c r="I15" i="5"/>
  <c r="I18" i="5"/>
  <c r="I26" i="5"/>
  <c r="I22" i="5"/>
  <c r="I28" i="5"/>
  <c r="G15" i="5"/>
  <c r="G26" i="5"/>
  <c r="G18" i="5"/>
  <c r="G28" i="5"/>
  <c r="G22" i="5"/>
  <c r="H14" i="5"/>
  <c r="H15" i="5"/>
  <c r="H28" i="5"/>
  <c r="H26" i="5"/>
  <c r="H18" i="5"/>
  <c r="H22" i="5"/>
  <c r="J14" i="5"/>
  <c r="J26" i="5"/>
  <c r="J22" i="5"/>
  <c r="J18" i="5"/>
  <c r="J28" i="5"/>
  <c r="J15" i="5"/>
  <c r="F26" i="5"/>
  <c r="F28" i="5"/>
  <c r="G12" i="5"/>
  <c r="G14" i="5"/>
  <c r="F18" i="5"/>
  <c r="F22" i="5"/>
  <c r="J12" i="5"/>
  <c r="H12" i="5"/>
  <c r="I12" i="5"/>
  <c r="N22" i="5" l="1"/>
  <c r="O22" i="5"/>
  <c r="K22" i="5"/>
  <c r="L22" i="5"/>
  <c r="M22" i="5"/>
  <c r="N18" i="5"/>
  <c r="K18" i="5"/>
  <c r="L18" i="5"/>
  <c r="M18" i="5"/>
  <c r="O18" i="5"/>
  <c r="K12" i="5"/>
  <c r="L12" i="5"/>
  <c r="N12" i="5"/>
  <c r="M12" i="5"/>
  <c r="O12" i="5"/>
  <c r="M28" i="5"/>
  <c r="N28" i="5"/>
  <c r="O28" i="5"/>
  <c r="K28" i="5"/>
  <c r="L28" i="5"/>
  <c r="K26" i="5"/>
  <c r="N26" i="5"/>
  <c r="O26" i="5"/>
  <c r="L26" i="5"/>
  <c r="M26" i="5"/>
  <c r="I12" i="10"/>
  <c r="I7" i="10"/>
  <c r="H12" i="10"/>
  <c r="H7" i="10"/>
  <c r="G12" i="10"/>
  <c r="J12" i="10"/>
  <c r="J7" i="10"/>
  <c r="G16" i="5"/>
  <c r="G19" i="5"/>
  <c r="H16" i="5"/>
  <c r="H19" i="5"/>
  <c r="J16" i="5"/>
  <c r="J19" i="5"/>
  <c r="I19" i="5"/>
  <c r="I16" i="5"/>
  <c r="K7" i="5" l="1"/>
  <c r="K8" i="5"/>
  <c r="L8" i="5" s="1"/>
  <c r="M8" i="5" s="1"/>
  <c r="N8" i="5" s="1"/>
  <c r="O8" i="5" s="1"/>
  <c r="K9" i="5"/>
  <c r="L9" i="5" s="1"/>
  <c r="M9" i="5" s="1"/>
  <c r="N9" i="5" s="1"/>
  <c r="O9" i="5" s="1"/>
  <c r="K10" i="5"/>
  <c r="L10" i="5" s="1"/>
  <c r="M10" i="5" s="1"/>
  <c r="N10" i="5" s="1"/>
  <c r="O10" i="5" s="1"/>
  <c r="K52" i="5"/>
  <c r="K59" i="5" s="1"/>
  <c r="J13" i="10"/>
  <c r="J8" i="10"/>
  <c r="H13" i="10"/>
  <c r="H8" i="10"/>
  <c r="G13" i="10"/>
  <c r="I13" i="10"/>
  <c r="I8" i="10"/>
  <c r="H23" i="5"/>
  <c r="H17" i="10" s="1"/>
  <c r="H20" i="5"/>
  <c r="I23" i="5"/>
  <c r="I17" i="10" s="1"/>
  <c r="I20" i="5"/>
  <c r="G20" i="5"/>
  <c r="G23" i="5"/>
  <c r="G17" i="10" s="1"/>
  <c r="J23" i="5"/>
  <c r="J17" i="10" s="1"/>
  <c r="J20" i="5"/>
  <c r="L7" i="5" l="1"/>
  <c r="K11" i="5"/>
  <c r="K53" i="5"/>
  <c r="G50" i="9"/>
  <c r="G40" i="9"/>
  <c r="G30" i="9"/>
  <c r="G14" i="10"/>
  <c r="J9" i="10"/>
  <c r="J14" i="10"/>
  <c r="I14" i="10"/>
  <c r="I9" i="10"/>
  <c r="H14" i="10"/>
  <c r="H9" i="10"/>
  <c r="J30" i="5"/>
  <c r="J24" i="5"/>
  <c r="I30" i="5"/>
  <c r="I24" i="5"/>
  <c r="H24" i="5"/>
  <c r="H30" i="5"/>
  <c r="G24" i="5"/>
  <c r="G30" i="5"/>
  <c r="G14" i="9" l="1"/>
  <c r="K17" i="5"/>
  <c r="G29" i="9" s="1"/>
  <c r="G32" i="9" s="1"/>
  <c r="K27" i="5"/>
  <c r="K6" i="10"/>
  <c r="K25" i="5"/>
  <c r="G49" i="9" s="1"/>
  <c r="K21" i="5"/>
  <c r="G39" i="9" s="1"/>
  <c r="M7" i="5"/>
  <c r="L11" i="5"/>
  <c r="K34" i="10"/>
  <c r="K26" i="10"/>
  <c r="K25" i="10"/>
  <c r="G31" i="9"/>
  <c r="G45" i="9"/>
  <c r="K31" i="10"/>
  <c r="G35" i="9"/>
  <c r="K30" i="10"/>
  <c r="I34" i="5"/>
  <c r="I18" i="10" s="1"/>
  <c r="I33" i="5"/>
  <c r="I31" i="5"/>
  <c r="G34" i="5"/>
  <c r="G18" i="10" s="1"/>
  <c r="G31" i="5"/>
  <c r="G33" i="5"/>
  <c r="H33" i="5"/>
  <c r="H34" i="5"/>
  <c r="H18" i="10" s="1"/>
  <c r="H31" i="5"/>
  <c r="J31" i="5"/>
  <c r="J34" i="5"/>
  <c r="J18" i="10" s="1"/>
  <c r="J33" i="5"/>
  <c r="G51" i="9" l="1"/>
  <c r="G52" i="9"/>
  <c r="G41" i="9"/>
  <c r="G42" i="9"/>
  <c r="G16" i="9"/>
  <c r="G17" i="9"/>
  <c r="N7" i="5"/>
  <c r="M11" i="5"/>
  <c r="L17" i="5"/>
  <c r="H29" i="9" s="1"/>
  <c r="H14" i="9"/>
  <c r="L6" i="10"/>
  <c r="L25" i="5"/>
  <c r="H49" i="9" s="1"/>
  <c r="L21" i="5"/>
  <c r="H39" i="9" s="1"/>
  <c r="L27" i="5"/>
  <c r="K60" i="5"/>
  <c r="G55" i="9"/>
  <c r="H15" i="10"/>
  <c r="H10" i="10"/>
  <c r="G15" i="10"/>
  <c r="I10" i="10"/>
  <c r="I15" i="10"/>
  <c r="J10" i="10"/>
  <c r="J15" i="10"/>
  <c r="J5" i="4"/>
  <c r="J7" i="4" s="1"/>
  <c r="F89" i="2" s="1"/>
  <c r="F7" i="9" s="1"/>
  <c r="F9" i="9" s="1"/>
  <c r="G28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O7" i="5" l="1"/>
  <c r="O11" i="5" s="1"/>
  <c r="N11" i="5"/>
  <c r="I14" i="9"/>
  <c r="M27" i="5"/>
  <c r="M6" i="10"/>
  <c r="M17" i="5"/>
  <c r="I29" i="9" s="1"/>
  <c r="M25" i="5"/>
  <c r="I49" i="9" s="1"/>
  <c r="M21" i="5"/>
  <c r="I39" i="9" s="1"/>
  <c r="O21" i="5"/>
  <c r="K39" i="9" s="1"/>
  <c r="F73" i="2"/>
  <c r="F37" i="2"/>
  <c r="J14" i="9" l="1"/>
  <c r="N6" i="10"/>
  <c r="N21" i="5"/>
  <c r="J39" i="9" s="1"/>
  <c r="N25" i="5"/>
  <c r="J49" i="9" s="1"/>
  <c r="N27" i="5"/>
  <c r="N17" i="5"/>
  <c r="J29" i="9" s="1"/>
  <c r="K14" i="9"/>
  <c r="O6" i="10"/>
  <c r="R6" i="10" s="1"/>
  <c r="O27" i="5"/>
  <c r="O25" i="5"/>
  <c r="K49" i="9" s="1"/>
  <c r="O17" i="5"/>
  <c r="K29" i="9" s="1"/>
  <c r="H12" i="8"/>
  <c r="I12" i="8"/>
  <c r="J12" i="8"/>
  <c r="K12" i="8"/>
  <c r="G12" i="8"/>
  <c r="L12" i="8"/>
  <c r="K11" i="8"/>
  <c r="L11" i="8"/>
  <c r="G11" i="8"/>
  <c r="I11" i="8"/>
  <c r="J11" i="8"/>
  <c r="H11" i="8"/>
  <c r="G13" i="6"/>
  <c r="G20" i="2"/>
  <c r="F13" i="5" s="1"/>
  <c r="Q6" i="10" l="1"/>
  <c r="L17" i="8"/>
  <c r="L13" i="8"/>
  <c r="L14" i="8" s="1"/>
  <c r="K17" i="8"/>
  <c r="K13" i="8"/>
  <c r="K14" i="8" s="1"/>
  <c r="H17" i="8"/>
  <c r="H13" i="8"/>
  <c r="H14" i="8" s="1"/>
  <c r="J17" i="8"/>
  <c r="J13" i="8"/>
  <c r="J14" i="8" s="1"/>
  <c r="I17" i="8"/>
  <c r="I13" i="8"/>
  <c r="I14" i="8" s="1"/>
  <c r="G17" i="8"/>
  <c r="G13" i="8"/>
  <c r="G14" i="8" s="1"/>
  <c r="G20" i="6"/>
  <c r="G21" i="6"/>
  <c r="F15" i="5"/>
  <c r="F14" i="5"/>
  <c r="K14" i="5" l="1"/>
  <c r="K13" i="5" s="1"/>
  <c r="M14" i="5"/>
  <c r="L14" i="5"/>
  <c r="N14" i="5"/>
  <c r="O14" i="5"/>
  <c r="J15" i="8"/>
  <c r="J18" i="8" s="1"/>
  <c r="H15" i="8"/>
  <c r="H18" i="8" s="1"/>
  <c r="K15" i="8"/>
  <c r="K18" i="8" s="1"/>
  <c r="I15" i="8"/>
  <c r="I18" i="8" s="1"/>
  <c r="I16" i="8"/>
  <c r="L15" i="8"/>
  <c r="L18" i="8" s="1"/>
  <c r="F12" i="10"/>
  <c r="G7" i="10"/>
  <c r="G15" i="8"/>
  <c r="G18" i="8" s="1"/>
  <c r="F16" i="5"/>
  <c r="F19" i="5"/>
  <c r="I19" i="8" l="1"/>
  <c r="I20" i="8" s="1"/>
  <c r="G16" i="8"/>
  <c r="G19" i="8" s="1"/>
  <c r="G20" i="8" s="1"/>
  <c r="H16" i="8"/>
  <c r="H19" i="8" s="1"/>
  <c r="H20" i="8" s="1"/>
  <c r="K16" i="8"/>
  <c r="K19" i="8" s="1"/>
  <c r="K20" i="8" s="1"/>
  <c r="F13" i="10"/>
  <c r="G8" i="10"/>
  <c r="L16" i="8"/>
  <c r="L19" i="8" s="1"/>
  <c r="L20" i="8" s="1"/>
  <c r="J16" i="8"/>
  <c r="J19" i="8" s="1"/>
  <c r="J20" i="8" s="1"/>
  <c r="L13" i="5"/>
  <c r="H19" i="9" s="1"/>
  <c r="F23" i="5"/>
  <c r="F17" i="10" s="1"/>
  <c r="F20" i="5"/>
  <c r="K61" i="5"/>
  <c r="K63" i="5" s="1"/>
  <c r="K15" i="5" l="1"/>
  <c r="G19" i="9"/>
  <c r="G22" i="9" s="1"/>
  <c r="G27" i="9" s="1"/>
  <c r="G37" i="9" s="1"/>
  <c r="G47" i="9" s="1"/>
  <c r="G57" i="9" s="1"/>
  <c r="G62" i="9" s="1"/>
  <c r="G67" i="9" s="1"/>
  <c r="G60" i="9"/>
  <c r="F14" i="10"/>
  <c r="G9" i="10"/>
  <c r="F30" i="5"/>
  <c r="F24" i="5"/>
  <c r="L15" i="5"/>
  <c r="H24" i="9" l="1"/>
  <c r="L16" i="5"/>
  <c r="G21" i="9"/>
  <c r="G24" i="9"/>
  <c r="G26" i="9" s="1"/>
  <c r="K16" i="5"/>
  <c r="K27" i="10"/>
  <c r="K12" i="10"/>
  <c r="K19" i="5"/>
  <c r="K7" i="10"/>
  <c r="G65" i="9"/>
  <c r="K35" i="10"/>
  <c r="K32" i="10"/>
  <c r="M13" i="5"/>
  <c r="L7" i="10"/>
  <c r="L12" i="10"/>
  <c r="F33" i="5"/>
  <c r="F31" i="5"/>
  <c r="F34" i="5"/>
  <c r="F18" i="10" s="1"/>
  <c r="L19" i="5"/>
  <c r="K8" i="10" l="1"/>
  <c r="K20" i="5"/>
  <c r="H34" i="9"/>
  <c r="L20" i="5"/>
  <c r="K13" i="10"/>
  <c r="K23" i="5"/>
  <c r="G34" i="9"/>
  <c r="G36" i="9" s="1"/>
  <c r="M15" i="5"/>
  <c r="I19" i="9"/>
  <c r="N13" i="5"/>
  <c r="F15" i="10"/>
  <c r="G10" i="10"/>
  <c r="L8" i="10"/>
  <c r="L13" i="10"/>
  <c r="K33" i="5"/>
  <c r="L33" i="5" s="1"/>
  <c r="L23" i="5"/>
  <c r="K17" i="10" l="1"/>
  <c r="K24" i="5"/>
  <c r="K30" i="5"/>
  <c r="G54" i="9" s="1"/>
  <c r="G56" i="9" s="1"/>
  <c r="I24" i="9"/>
  <c r="M16" i="5"/>
  <c r="L24" i="5"/>
  <c r="L30" i="5"/>
  <c r="H54" i="9" s="1"/>
  <c r="G44" i="9"/>
  <c r="G46" i="9" s="1"/>
  <c r="K14" i="10"/>
  <c r="K9" i="10"/>
  <c r="H44" i="9"/>
  <c r="L17" i="10"/>
  <c r="N15" i="5"/>
  <c r="J19" i="9"/>
  <c r="M7" i="10"/>
  <c r="M12" i="10"/>
  <c r="M19" i="5"/>
  <c r="M20" i="5" s="1"/>
  <c r="O13" i="5"/>
  <c r="L9" i="10"/>
  <c r="L14" i="10"/>
  <c r="M33" i="5"/>
  <c r="N33" i="5" s="1"/>
  <c r="O33" i="5" s="1"/>
  <c r="J24" i="9" l="1"/>
  <c r="N16" i="5"/>
  <c r="K31" i="5"/>
  <c r="K32" i="5"/>
  <c r="K34" i="5" s="1"/>
  <c r="L32" i="5"/>
  <c r="L31" i="5"/>
  <c r="N7" i="10"/>
  <c r="N19" i="5"/>
  <c r="N20" i="5" s="1"/>
  <c r="N12" i="10"/>
  <c r="I34" i="9"/>
  <c r="M13" i="10"/>
  <c r="M23" i="5"/>
  <c r="M8" i="10"/>
  <c r="O15" i="5"/>
  <c r="K19" i="9"/>
  <c r="K24" i="9" l="1"/>
  <c r="O16" i="5"/>
  <c r="M17" i="10"/>
  <c r="M24" i="5"/>
  <c r="M30" i="5"/>
  <c r="G59" i="9"/>
  <c r="G61" i="9" s="1"/>
  <c r="N23" i="5"/>
  <c r="J34" i="9"/>
  <c r="N8" i="10"/>
  <c r="N13" i="10"/>
  <c r="K10" i="10"/>
  <c r="O19" i="5"/>
  <c r="O7" i="10"/>
  <c r="R7" i="10" s="1"/>
  <c r="O12" i="10"/>
  <c r="R12" i="10" s="1"/>
  <c r="L34" i="5"/>
  <c r="L15" i="10" s="1"/>
  <c r="H59" i="9"/>
  <c r="I44" i="9"/>
  <c r="M9" i="10"/>
  <c r="M14" i="10"/>
  <c r="K15" i="10"/>
  <c r="G64" i="9"/>
  <c r="G66" i="9" s="1"/>
  <c r="G70" i="9" s="1"/>
  <c r="G72" i="9" s="1"/>
  <c r="K18" i="10"/>
  <c r="N24" i="5" l="1"/>
  <c r="N30" i="5"/>
  <c r="O23" i="5"/>
  <c r="O14" i="10" s="1"/>
  <c r="O20" i="5"/>
  <c r="M31" i="5"/>
  <c r="M32" i="5"/>
  <c r="N17" i="10"/>
  <c r="N9" i="10"/>
  <c r="N14" i="10"/>
  <c r="O13" i="10"/>
  <c r="Q13" i="10" s="1"/>
  <c r="J44" i="9"/>
  <c r="O8" i="10"/>
  <c r="Q8" i="10" s="1"/>
  <c r="K34" i="9"/>
  <c r="L10" i="10"/>
  <c r="Q12" i="10"/>
  <c r="Q7" i="10"/>
  <c r="I54" i="9"/>
  <c r="H64" i="9"/>
  <c r="L18" i="10"/>
  <c r="N32" i="5" l="1"/>
  <c r="N31" i="5"/>
  <c r="K44" i="9"/>
  <c r="O9" i="10"/>
  <c r="R9" i="10" s="1"/>
  <c r="J54" i="9"/>
  <c r="O17" i="10"/>
  <c r="O24" i="5"/>
  <c r="O30" i="5"/>
  <c r="N34" i="5"/>
  <c r="J64" i="9" s="1"/>
  <c r="R13" i="10"/>
  <c r="R14" i="10"/>
  <c r="R8" i="10"/>
  <c r="Q14" i="10"/>
  <c r="M34" i="5"/>
  <c r="I59" i="9"/>
  <c r="O31" i="5" l="1"/>
  <c r="O32" i="5"/>
  <c r="K59" i="9" s="1"/>
  <c r="K54" i="9"/>
  <c r="O34" i="5"/>
  <c r="O10" i="10" s="1"/>
  <c r="Q9" i="10"/>
  <c r="N10" i="10"/>
  <c r="N15" i="10"/>
  <c r="N18" i="10"/>
  <c r="J59" i="9"/>
  <c r="M15" i="10"/>
  <c r="I64" i="9"/>
  <c r="M18" i="10"/>
  <c r="M10" i="10"/>
  <c r="G4" i="13" l="1" a="1"/>
  <c r="G4" i="13" s="1"/>
  <c r="G11" i="13" s="1"/>
  <c r="O18" i="10"/>
  <c r="K64" i="9"/>
  <c r="O15" i="10"/>
  <c r="Q15" i="10" s="1"/>
  <c r="G12" i="13"/>
  <c r="G15" i="13"/>
  <c r="G13" i="13"/>
  <c r="G14" i="13"/>
  <c r="Q10" i="10"/>
  <c r="R18" i="10"/>
  <c r="Q18" i="10"/>
  <c r="R17" i="10"/>
  <c r="Q17" i="10"/>
  <c r="R10" i="10"/>
  <c r="R15" i="10"/>
  <c r="L39" i="5" l="1"/>
  <c r="M39" i="5" s="1"/>
  <c r="N39" i="5" s="1"/>
  <c r="O39" i="5" s="1"/>
  <c r="L38" i="5"/>
  <c r="M38" i="5" s="1"/>
  <c r="N38" i="5" l="1"/>
  <c r="M40" i="5"/>
  <c r="L40" i="5"/>
  <c r="M54" i="5" l="1"/>
  <c r="I50" i="9" s="1"/>
  <c r="M56" i="5"/>
  <c r="M23" i="10"/>
  <c r="I15" i="9"/>
  <c r="M42" i="5"/>
  <c r="I20" i="9" s="1"/>
  <c r="I22" i="9" s="1"/>
  <c r="M46" i="5"/>
  <c r="I30" i="9" s="1"/>
  <c r="I32" i="9" s="1"/>
  <c r="M50" i="5"/>
  <c r="I40" i="9" s="1"/>
  <c r="I42" i="9" s="1"/>
  <c r="N40" i="5"/>
  <c r="O38" i="5"/>
  <c r="O40" i="5" s="1"/>
  <c r="H15" i="9"/>
  <c r="L54" i="5"/>
  <c r="H50" i="9" s="1"/>
  <c r="L46" i="5"/>
  <c r="H30" i="9" s="1"/>
  <c r="H32" i="9" s="1"/>
  <c r="L50" i="5"/>
  <c r="H40" i="9" s="1"/>
  <c r="H42" i="9" s="1"/>
  <c r="L42" i="5"/>
  <c r="H20" i="9" s="1"/>
  <c r="H22" i="9" s="1"/>
  <c r="L56" i="5"/>
  <c r="L23" i="10"/>
  <c r="I16" i="9" l="1"/>
  <c r="I17" i="9"/>
  <c r="H51" i="9"/>
  <c r="H52" i="9"/>
  <c r="H16" i="9"/>
  <c r="H17" i="9"/>
  <c r="I51" i="9"/>
  <c r="I52" i="9"/>
  <c r="M44" i="5"/>
  <c r="I25" i="9" s="1"/>
  <c r="I26" i="9" s="1"/>
  <c r="L44" i="5"/>
  <c r="L48" i="5" s="1"/>
  <c r="I41" i="9"/>
  <c r="H21" i="9"/>
  <c r="H41" i="9"/>
  <c r="M29" i="10"/>
  <c r="H31" i="9"/>
  <c r="I21" i="9"/>
  <c r="O46" i="5"/>
  <c r="K30" i="9" s="1"/>
  <c r="K32" i="9" s="1"/>
  <c r="O50" i="5"/>
  <c r="K40" i="9" s="1"/>
  <c r="K42" i="9" s="1"/>
  <c r="O42" i="5"/>
  <c r="K20" i="9" s="1"/>
  <c r="K22" i="9" s="1"/>
  <c r="K15" i="9"/>
  <c r="O23" i="10"/>
  <c r="O54" i="5"/>
  <c r="K50" i="9" s="1"/>
  <c r="O56" i="5"/>
  <c r="I31" i="9"/>
  <c r="J15" i="9"/>
  <c r="N54" i="5"/>
  <c r="J50" i="9" s="1"/>
  <c r="N42" i="5"/>
  <c r="J20" i="9" s="1"/>
  <c r="J22" i="9" s="1"/>
  <c r="N23" i="10"/>
  <c r="N50" i="5"/>
  <c r="J40" i="9" s="1"/>
  <c r="J42" i="9" s="1"/>
  <c r="N56" i="5"/>
  <c r="N46" i="5"/>
  <c r="J30" i="9" s="1"/>
  <c r="J32" i="9" s="1"/>
  <c r="K51" i="9" l="1"/>
  <c r="K52" i="9"/>
  <c r="H27" i="9"/>
  <c r="J51" i="9"/>
  <c r="J52" i="9"/>
  <c r="J16" i="9"/>
  <c r="J17" i="9"/>
  <c r="I27" i="9"/>
  <c r="K16" i="9"/>
  <c r="K17" i="9"/>
  <c r="M48" i="5"/>
  <c r="I35" i="9" s="1"/>
  <c r="I36" i="9" s="1"/>
  <c r="M45" i="5"/>
  <c r="L24" i="10"/>
  <c r="L45" i="5"/>
  <c r="M24" i="10"/>
  <c r="L29" i="10"/>
  <c r="H25" i="9"/>
  <c r="H26" i="9" s="1"/>
  <c r="N44" i="5"/>
  <c r="N29" i="10" s="1"/>
  <c r="O44" i="5"/>
  <c r="O29" i="10" s="1"/>
  <c r="R23" i="10"/>
  <c r="J21" i="9"/>
  <c r="L30" i="10"/>
  <c r="H35" i="9"/>
  <c r="H36" i="9" s="1"/>
  <c r="L25" i="10"/>
  <c r="L49" i="5"/>
  <c r="L52" i="5"/>
  <c r="J31" i="9"/>
  <c r="K21" i="9"/>
  <c r="M52" i="5"/>
  <c r="M30" i="10"/>
  <c r="M49" i="5"/>
  <c r="M25" i="10"/>
  <c r="Q23" i="10"/>
  <c r="K41" i="9"/>
  <c r="J41" i="9"/>
  <c r="K31" i="9"/>
  <c r="J27" i="9" l="1"/>
  <c r="H37" i="9"/>
  <c r="H47" i="9" s="1"/>
  <c r="H57" i="9" s="1"/>
  <c r="K27" i="9"/>
  <c r="K37" i="9" s="1"/>
  <c r="K47" i="9" s="1"/>
  <c r="K57" i="9" s="1"/>
  <c r="I37" i="9"/>
  <c r="I47" i="9" s="1"/>
  <c r="I57" i="9" s="1"/>
  <c r="N48" i="5"/>
  <c r="N45" i="5"/>
  <c r="J25" i="9"/>
  <c r="J26" i="9" s="1"/>
  <c r="N24" i="10"/>
  <c r="K25" i="9"/>
  <c r="K26" i="9" s="1"/>
  <c r="O24" i="10"/>
  <c r="R24" i="10" s="1"/>
  <c r="O48" i="5"/>
  <c r="K35" i="9" s="1"/>
  <c r="K36" i="9" s="1"/>
  <c r="O45" i="5"/>
  <c r="R29" i="10"/>
  <c r="Q29" i="10"/>
  <c r="J35" i="9"/>
  <c r="J36" i="9" s="1"/>
  <c r="N52" i="5"/>
  <c r="N49" i="5"/>
  <c r="N25" i="10"/>
  <c r="N30" i="10"/>
  <c r="M34" i="10"/>
  <c r="M59" i="5"/>
  <c r="M26" i="10"/>
  <c r="M53" i="5"/>
  <c r="I45" i="9"/>
  <c r="I46" i="9" s="1"/>
  <c r="M31" i="10"/>
  <c r="H45" i="9"/>
  <c r="H46" i="9" s="1"/>
  <c r="L31" i="10"/>
  <c r="L34" i="10"/>
  <c r="L53" i="5"/>
  <c r="L26" i="10"/>
  <c r="L59" i="5"/>
  <c r="J37" i="9" l="1"/>
  <c r="J47" i="9" s="1"/>
  <c r="J57" i="9" s="1"/>
  <c r="I62" i="9"/>
  <c r="I67" i="9" s="1"/>
  <c r="H62" i="9"/>
  <c r="H67" i="9" s="1"/>
  <c r="Q24" i="10"/>
  <c r="O25" i="10"/>
  <c r="R25" i="10" s="1"/>
  <c r="O52" i="5"/>
  <c r="O59" i="5" s="1"/>
  <c r="O49" i="5"/>
  <c r="O30" i="10"/>
  <c r="R30" i="10" s="1"/>
  <c r="N53" i="5"/>
  <c r="N59" i="5"/>
  <c r="N34" i="10"/>
  <c r="J45" i="9"/>
  <c r="J46" i="9" s="1"/>
  <c r="N31" i="10"/>
  <c r="N26" i="10"/>
  <c r="I55" i="9"/>
  <c r="I56" i="9" s="1"/>
  <c r="M61" i="5"/>
  <c r="I60" i="9" s="1"/>
  <c r="I61" i="9" s="1"/>
  <c r="M60" i="5"/>
  <c r="L61" i="5"/>
  <c r="H60" i="9" s="1"/>
  <c r="H61" i="9" s="1"/>
  <c r="L60" i="5"/>
  <c r="H55" i="9"/>
  <c r="H56" i="9" s="1"/>
  <c r="J62" i="9" l="1"/>
  <c r="J67" i="9" s="1"/>
  <c r="O34" i="10"/>
  <c r="O53" i="5"/>
  <c r="K45" i="9"/>
  <c r="K46" i="9" s="1"/>
  <c r="O26" i="10"/>
  <c r="Q26" i="10" s="1"/>
  <c r="Q25" i="10"/>
  <c r="O31" i="10"/>
  <c r="Q31" i="10" s="1"/>
  <c r="Q30" i="10"/>
  <c r="M63" i="5"/>
  <c r="R34" i="10"/>
  <c r="L63" i="5"/>
  <c r="Q34" i="10"/>
  <c r="N61" i="5"/>
  <c r="J60" i="9" s="1"/>
  <c r="J61" i="9" s="1"/>
  <c r="N60" i="5"/>
  <c r="J55" i="9"/>
  <c r="J56" i="9" s="1"/>
  <c r="O60" i="5"/>
  <c r="O61" i="5"/>
  <c r="K60" i="9" s="1"/>
  <c r="K61" i="9" s="1"/>
  <c r="K55" i="9"/>
  <c r="K56" i="9" s="1"/>
  <c r="K62" i="9" l="1"/>
  <c r="K67" i="9" s="1"/>
  <c r="R26" i="10"/>
  <c r="R31" i="10"/>
  <c r="H65" i="9"/>
  <c r="H66" i="9" s="1"/>
  <c r="I65" i="9"/>
  <c r="I66" i="9" s="1"/>
  <c r="L27" i="10"/>
  <c r="M35" i="10"/>
  <c r="M32" i="10"/>
  <c r="L32" i="10"/>
  <c r="L35" i="10"/>
  <c r="M27" i="10"/>
  <c r="O63" i="5"/>
  <c r="N63" i="5"/>
  <c r="H70" i="9" l="1"/>
  <c r="H72" i="9" s="1"/>
  <c r="I70" i="9"/>
  <c r="I72" i="9" s="1"/>
  <c r="L26" i="13" a="1"/>
  <c r="J26" i="13" a="1"/>
  <c r="I26" i="13" a="1"/>
  <c r="G26" i="13" a="1"/>
  <c r="K26" i="13" a="1"/>
  <c r="H26" i="13" a="1"/>
  <c r="G18" i="13" a="1"/>
  <c r="G18" i="13" s="1"/>
  <c r="O32" i="10"/>
  <c r="O27" i="10"/>
  <c r="K65" i="9"/>
  <c r="K66" i="9" s="1"/>
  <c r="O35" i="10"/>
  <c r="N35" i="10"/>
  <c r="J65" i="9"/>
  <c r="J66" i="9" s="1"/>
  <c r="N32" i="10"/>
  <c r="N27" i="10"/>
  <c r="H4" i="13" a="1"/>
  <c r="K70" i="9" l="1"/>
  <c r="J70" i="9"/>
  <c r="J72" i="9" s="1"/>
  <c r="G36" i="13"/>
  <c r="G43" i="13" s="1"/>
  <c r="G35" i="13"/>
  <c r="G42" i="13" s="1"/>
  <c r="G34" i="13"/>
  <c r="G41" i="13" s="1"/>
  <c r="G26" i="13"/>
  <c r="G40" i="13" s="1"/>
  <c r="G37" i="13"/>
  <c r="G44" i="13" s="1"/>
  <c r="H34" i="13"/>
  <c r="H41" i="13" s="1"/>
  <c r="H26" i="13"/>
  <c r="H33" i="13" s="1"/>
  <c r="H40" i="13" s="1"/>
  <c r="H36" i="13"/>
  <c r="H43" i="13" s="1"/>
  <c r="H37" i="13"/>
  <c r="H44" i="13" s="1"/>
  <c r="H35" i="13"/>
  <c r="H42" i="13" s="1"/>
  <c r="I35" i="13"/>
  <c r="I42" i="13" s="1"/>
  <c r="I26" i="13"/>
  <c r="I33" i="13" s="1"/>
  <c r="I40" i="13" s="1"/>
  <c r="I34" i="13"/>
  <c r="I41" i="13" s="1"/>
  <c r="I37" i="13"/>
  <c r="I44" i="13" s="1"/>
  <c r="I36" i="13"/>
  <c r="I43" i="13" s="1"/>
  <c r="J26" i="13"/>
  <c r="J33" i="13" s="1"/>
  <c r="J40" i="13" s="1"/>
  <c r="J37" i="13"/>
  <c r="J44" i="13" s="1"/>
  <c r="J36" i="13"/>
  <c r="J43" i="13" s="1"/>
  <c r="J35" i="13"/>
  <c r="J42" i="13" s="1"/>
  <c r="J34" i="13"/>
  <c r="J41" i="13" s="1"/>
  <c r="K34" i="13"/>
  <c r="K41" i="13" s="1"/>
  <c r="K26" i="13"/>
  <c r="K33" i="13" s="1"/>
  <c r="K40" i="13" s="1"/>
  <c r="K36" i="13"/>
  <c r="K43" i="13" s="1"/>
  <c r="K37" i="13"/>
  <c r="K44" i="13" s="1"/>
  <c r="K35" i="13"/>
  <c r="K42" i="13" s="1"/>
  <c r="L37" i="13"/>
  <c r="L44" i="13" s="1"/>
  <c r="L35" i="13"/>
  <c r="L42" i="13" s="1"/>
  <c r="L36" i="13"/>
  <c r="L43" i="13" s="1"/>
  <c r="L34" i="13"/>
  <c r="L41" i="13" s="1"/>
  <c r="L26" i="13"/>
  <c r="L33" i="13" s="1"/>
  <c r="L40" i="13" s="1"/>
  <c r="K71" i="9"/>
  <c r="K72" i="9" s="1"/>
  <c r="F73" i="9" s="1"/>
  <c r="F74" i="9" s="1"/>
  <c r="Q35" i="10"/>
  <c r="R35" i="10"/>
  <c r="R32" i="10"/>
  <c r="Q32" i="10"/>
  <c r="H4" i="13"/>
  <c r="H11" i="13" s="1"/>
  <c r="H14" i="13"/>
  <c r="H12" i="13"/>
  <c r="H13" i="13"/>
  <c r="H15" i="13"/>
  <c r="Q27" i="10"/>
  <c r="R27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<sst xmlns="http://schemas.openxmlformats.org/spreadsheetml/2006/main" count="700" uniqueCount="243">
  <si>
    <t>ASSUMPTIONS</t>
  </si>
  <si>
    <t>Units</t>
  </si>
  <si>
    <t>Value</t>
  </si>
  <si>
    <t>Acquirer: UltraTech Cement Ltd.</t>
  </si>
  <si>
    <t>Share Price at Close (31-05-2024)</t>
  </si>
  <si>
    <t>INR</t>
  </si>
  <si>
    <t>Shares Outstanding</t>
  </si>
  <si>
    <t>Basic Shares Outstanding</t>
  </si>
  <si>
    <t>Options</t>
  </si>
  <si>
    <t># of Options</t>
  </si>
  <si>
    <t>Exercise Price</t>
  </si>
  <si>
    <t>Profit &amp; Loss Statement</t>
  </si>
  <si>
    <t xml:space="preserve">Revenue from Operations </t>
  </si>
  <si>
    <t>Sale of Manufactured Products</t>
  </si>
  <si>
    <t>INR Cr.</t>
  </si>
  <si>
    <t>Sale of Traded Products</t>
  </si>
  <si>
    <t>Sale of Services</t>
  </si>
  <si>
    <t>Other Operating Revenues</t>
  </si>
  <si>
    <t>Total Revenue from Operations</t>
  </si>
  <si>
    <t>Other Income</t>
  </si>
  <si>
    <t xml:space="preserve">Total Income </t>
  </si>
  <si>
    <t>Cost of Material Consumed</t>
  </si>
  <si>
    <t>Purchases of Stock in trade</t>
  </si>
  <si>
    <t>Changes in Inventories</t>
  </si>
  <si>
    <t>Employee Benefit Expenses</t>
  </si>
  <si>
    <t>Finance Costs</t>
  </si>
  <si>
    <t>Depreciation &amp; Amortization</t>
  </si>
  <si>
    <t>Power &amp; Fuel</t>
  </si>
  <si>
    <t>Freight and Forwarding Charges</t>
  </si>
  <si>
    <t>Other Expenses</t>
  </si>
  <si>
    <t>Total Expenses</t>
  </si>
  <si>
    <t xml:space="preserve">Profit Before Exceptional Items </t>
  </si>
  <si>
    <t>Exceptional Items</t>
  </si>
  <si>
    <t>Profit before Tax Expense</t>
  </si>
  <si>
    <t>Total Tax Expense</t>
  </si>
  <si>
    <t>Profit for the Year</t>
  </si>
  <si>
    <t>Balance Sheet</t>
  </si>
  <si>
    <t>Cash &amp; Cash Equivalent</t>
  </si>
  <si>
    <t>Debt</t>
  </si>
  <si>
    <t>Cash Usage</t>
  </si>
  <si>
    <t>Target: India Cement Ltd.</t>
  </si>
  <si>
    <t>Share Price at Close ( 31-05-2024)</t>
  </si>
  <si>
    <t>Profit/Loss for the Year</t>
  </si>
  <si>
    <t>General</t>
  </si>
  <si>
    <t>Cash Deal Percentage</t>
  </si>
  <si>
    <t>%</t>
  </si>
  <si>
    <t>Scenario Analysis</t>
  </si>
  <si>
    <t>Deal Handling Fees</t>
  </si>
  <si>
    <t>Advisory Fee</t>
  </si>
  <si>
    <t>Debt Issuance Fee</t>
  </si>
  <si>
    <t>Legal and Other Fees</t>
  </si>
  <si>
    <t>Period to Amortization Charges</t>
  </si>
  <si>
    <t>Yrs</t>
  </si>
  <si>
    <t>Terminal Growth Rate</t>
  </si>
  <si>
    <t xml:space="preserve">Return on Market </t>
  </si>
  <si>
    <t>Riskfree Rate of Return (10Y Bond Yeild)</t>
  </si>
  <si>
    <t>Acquirer - Beta</t>
  </si>
  <si>
    <t>INCOME STATEMENT</t>
  </si>
  <si>
    <t>FY20A</t>
  </si>
  <si>
    <t>FY21A</t>
  </si>
  <si>
    <t>FY22A</t>
  </si>
  <si>
    <t>FY23A</t>
  </si>
  <si>
    <t>FY24A</t>
  </si>
  <si>
    <t>FY25E</t>
  </si>
  <si>
    <t>FY26E</t>
  </si>
  <si>
    <t>FY27E</t>
  </si>
  <si>
    <t>FY28E</t>
  </si>
  <si>
    <t>FY29E</t>
  </si>
  <si>
    <t>#</t>
  </si>
  <si>
    <t>Acquirer: UltraTech Cements</t>
  </si>
  <si>
    <t>Revenue from Operations</t>
  </si>
  <si>
    <t xml:space="preserve">% of growth </t>
  </si>
  <si>
    <t>Cost of Goods Sold</t>
  </si>
  <si>
    <t>% of revenue</t>
  </si>
  <si>
    <t>Gross Margin</t>
  </si>
  <si>
    <t>Operating Expenses</t>
  </si>
  <si>
    <t>EBITDA</t>
  </si>
  <si>
    <t>EBITDA Margin</t>
  </si>
  <si>
    <t>EBIT</t>
  </si>
  <si>
    <t>EBIT Margin</t>
  </si>
  <si>
    <t>Interest Expense</t>
  </si>
  <si>
    <t xml:space="preserve">Other Income </t>
  </si>
  <si>
    <t>Earnings Before Tax</t>
  </si>
  <si>
    <t>Income Tax</t>
  </si>
  <si>
    <t>Effective Tax Rate</t>
  </si>
  <si>
    <t>Profit After Tax</t>
  </si>
  <si>
    <t xml:space="preserve">Target: India Cement </t>
  </si>
  <si>
    <t>RETURN ON MARKET (SENSEX)</t>
  </si>
  <si>
    <t>Year</t>
  </si>
  <si>
    <t>Open</t>
  </si>
  <si>
    <t>High</t>
  </si>
  <si>
    <t>Low</t>
  </si>
  <si>
    <t>Close</t>
  </si>
  <si>
    <t>Annual Return(%)</t>
  </si>
  <si>
    <t>Average Return</t>
  </si>
  <si>
    <t xml:space="preserve">Dividend Yield </t>
  </si>
  <si>
    <t>Total Martek Return</t>
  </si>
  <si>
    <t xml:space="preserve">MERGER PLAN </t>
  </si>
  <si>
    <t xml:space="preserve">Units </t>
  </si>
  <si>
    <t>Target: India Cement</t>
  </si>
  <si>
    <t xml:space="preserve">Details </t>
  </si>
  <si>
    <t>Closing Price</t>
  </si>
  <si>
    <t>Equity</t>
  </si>
  <si>
    <t>Option Rollover</t>
  </si>
  <si>
    <t>OPTION ROLLOVER</t>
  </si>
  <si>
    <t>S1:</t>
  </si>
  <si>
    <t>Total Amount to be recd. On exercise of ESOP</t>
  </si>
  <si>
    <t>No. of ESOPS</t>
  </si>
  <si>
    <t>S2:</t>
  </si>
  <si>
    <t>No.of Shares company can buy from Mkt.</t>
  </si>
  <si>
    <t>Shares</t>
  </si>
  <si>
    <t>S3:</t>
  </si>
  <si>
    <t>Additional Shares the company needs to issue</t>
  </si>
  <si>
    <t xml:space="preserve">Diluted Equity </t>
  </si>
  <si>
    <t>Purchase Price</t>
  </si>
  <si>
    <t>Purchase Consideration</t>
  </si>
  <si>
    <t>Enterprise Value</t>
  </si>
  <si>
    <t>New Stock Issued- Acquirer</t>
  </si>
  <si>
    <t>Updated Shares- Acquirer</t>
  </si>
  <si>
    <t>Target- Ownership</t>
  </si>
  <si>
    <t>Ratios</t>
  </si>
  <si>
    <t>Exchange Ratio</t>
  </si>
  <si>
    <t>EV/Sales</t>
  </si>
  <si>
    <t>EV/EBITDA</t>
  </si>
  <si>
    <t>P/E</t>
  </si>
  <si>
    <t>Cr.</t>
  </si>
  <si>
    <t>Non-Current Liabilities</t>
  </si>
  <si>
    <t>Current Liabilities</t>
  </si>
  <si>
    <t>Total Equity</t>
  </si>
  <si>
    <t>Non-Current Liabilties</t>
  </si>
  <si>
    <t>Current liabilities</t>
  </si>
  <si>
    <t xml:space="preserve">Total Equity </t>
  </si>
  <si>
    <t>Average Interest Rate</t>
  </si>
  <si>
    <t>Tax Rate</t>
  </si>
  <si>
    <t>Cash Requirement for the deal</t>
  </si>
  <si>
    <t>Deal Charges</t>
  </si>
  <si>
    <t>Cash Availabilty</t>
  </si>
  <si>
    <t>Target</t>
  </si>
  <si>
    <t>Acquirer</t>
  </si>
  <si>
    <t>Net Cash Requirement</t>
  </si>
  <si>
    <t>Debt Requirement</t>
  </si>
  <si>
    <t>Debt Charges</t>
  </si>
  <si>
    <t>Interest on Debt</t>
  </si>
  <si>
    <t>Income Loss- Cash</t>
  </si>
  <si>
    <t>Amortization of Charges</t>
  </si>
  <si>
    <t>Post-Tax Impact</t>
  </si>
  <si>
    <t>Pre-Tax Impact</t>
  </si>
  <si>
    <t>Interest Rate (Cash)</t>
  </si>
  <si>
    <t>SYNERGY ANALYSIS</t>
  </si>
  <si>
    <t>FINANCE MIX</t>
  </si>
  <si>
    <t>Synergy</t>
  </si>
  <si>
    <t>Revenue Synergy</t>
  </si>
  <si>
    <t xml:space="preserve">Operating Expenses </t>
  </si>
  <si>
    <t>FY2025</t>
  </si>
  <si>
    <t>FY2026</t>
  </si>
  <si>
    <t>FY2027</t>
  </si>
  <si>
    <t>FY2028</t>
  </si>
  <si>
    <t>FY2029</t>
  </si>
  <si>
    <t>RATIO ANALYSIS</t>
  </si>
  <si>
    <t>Acquirer: Ultratech Cements</t>
  </si>
  <si>
    <t>Trend</t>
  </si>
  <si>
    <t xml:space="preserve">Mean </t>
  </si>
  <si>
    <t>Median</t>
  </si>
  <si>
    <t>Income Statement Ratios</t>
  </si>
  <si>
    <t>Gross Profit</t>
  </si>
  <si>
    <t>Sales Growth</t>
  </si>
  <si>
    <t>Gross Profit Growth</t>
  </si>
  <si>
    <t>Operating Margin</t>
  </si>
  <si>
    <t>Net Profit Margin</t>
  </si>
  <si>
    <t>-</t>
  </si>
  <si>
    <t xml:space="preserve">EBITDA  Growth </t>
  </si>
  <si>
    <t>EBIT Growth</t>
  </si>
  <si>
    <t>Net Profit Growth</t>
  </si>
  <si>
    <t>Target: India Cements</t>
  </si>
  <si>
    <t>COMPARABLE COMPANY ANALYSIS</t>
  </si>
  <si>
    <t>Trading Comparables</t>
  </si>
  <si>
    <t>Net Debt</t>
  </si>
  <si>
    <t>Net Income</t>
  </si>
  <si>
    <t>EV/Revenue</t>
  </si>
  <si>
    <t>The Ramco Cements Ltd.</t>
  </si>
  <si>
    <t>Dalmia Bharat Ltd.</t>
  </si>
  <si>
    <t>Orient Cement Ltd.</t>
  </si>
  <si>
    <t>Sagar Cements Ltd.</t>
  </si>
  <si>
    <t>NCL Industries Ltd.</t>
  </si>
  <si>
    <t>Sanghi Industries Ltd.</t>
  </si>
  <si>
    <t>EPS</t>
  </si>
  <si>
    <t>Deccan Cement Ltd.</t>
  </si>
  <si>
    <t>Firm Multiples</t>
  </si>
  <si>
    <t>Equity Multiples</t>
  </si>
  <si>
    <t>(INR)</t>
  </si>
  <si>
    <t>(INR Cr.)</t>
  </si>
  <si>
    <t>Market Price</t>
  </si>
  <si>
    <t xml:space="preserve">Enterprise Value </t>
  </si>
  <si>
    <t xml:space="preserve">Market Cap </t>
  </si>
  <si>
    <t xml:space="preserve">Revenue </t>
  </si>
  <si>
    <t>Mean</t>
  </si>
  <si>
    <t>Valuation of Target</t>
  </si>
  <si>
    <t>Implied Enterprise Value</t>
  </si>
  <si>
    <t>Implied Market Value</t>
  </si>
  <si>
    <t>Implied Value per share</t>
  </si>
  <si>
    <t>INDUSTRY ANALYSIS</t>
  </si>
  <si>
    <t>Peer Companies</t>
  </si>
  <si>
    <t>Return on Capital Employed (ROCE)</t>
  </si>
  <si>
    <t>Return on Equity (ROE)</t>
  </si>
  <si>
    <t>Cost of Capital</t>
  </si>
  <si>
    <t>WACC</t>
  </si>
  <si>
    <t>Financials</t>
  </si>
  <si>
    <t>Revenue</t>
  </si>
  <si>
    <t>Combined: No Synergy</t>
  </si>
  <si>
    <t>Combined: With Synergy</t>
  </si>
  <si>
    <t>Cost of Sales</t>
  </si>
  <si>
    <t>PBT</t>
  </si>
  <si>
    <t>PAT</t>
  </si>
  <si>
    <t>Yearly</t>
  </si>
  <si>
    <t>Terminal Value</t>
  </si>
  <si>
    <t>Net</t>
  </si>
  <si>
    <t>NPV</t>
  </si>
  <si>
    <t>NPV/Share</t>
  </si>
  <si>
    <t>After Deal</t>
  </si>
  <si>
    <t>ACCRETION DILUTION ANALYSIS</t>
  </si>
  <si>
    <t>EPS (Accretion/Dilution)</t>
  </si>
  <si>
    <t>Shree Cement</t>
  </si>
  <si>
    <t>Dalmia Bharat</t>
  </si>
  <si>
    <t>UltraTech Cement</t>
  </si>
  <si>
    <t>Ambuja Cement</t>
  </si>
  <si>
    <t>ACC Ltd.</t>
  </si>
  <si>
    <t>The Ramco Cements</t>
  </si>
  <si>
    <t>JK Cement</t>
  </si>
  <si>
    <t>Birla Corporation</t>
  </si>
  <si>
    <t>Nuvovo Vistas</t>
  </si>
  <si>
    <t>Profit Growth</t>
  </si>
  <si>
    <t>Price/Book</t>
  </si>
  <si>
    <t>FINANCIALS</t>
  </si>
  <si>
    <t>MARKET DATA</t>
  </si>
  <si>
    <t>VALUATION</t>
  </si>
  <si>
    <t>ROCE</t>
  </si>
  <si>
    <t>ROE</t>
  </si>
  <si>
    <t>TERMINAL VALUE</t>
  </si>
  <si>
    <t>Annual GDP Growth</t>
  </si>
  <si>
    <t xml:space="preserve">Years </t>
  </si>
  <si>
    <t>shares</t>
  </si>
  <si>
    <t>CAGR(%)</t>
  </si>
  <si>
    <t>Exercise Price (May,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</si>
</sst>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;[Red]#,##0.00"/>
    <numFmt numFmtId="165" formatCode="0.0%"/>
    <numFmt numFmtId="166" formatCode="0.00\x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1"/>
      <color theme="3" tint="0.249977111117893"/>
      <name val="Calibri"/>
      <family val="2"/>
    </font>
    <font>
      <b/>
      <sz val="11"/>
      <color theme="3" tint="0.249977111117893"/>
      <name val="Calibri"/>
      <family val="2"/>
    </font>
    <font>
      <b/>
      <sz val="11"/>
      <color theme="0"/>
      <name val="Calibri Light"/>
      <family val="2"/>
    </font>
    <font>
      <b/>
      <sz val="11"/>
      <color theme="1"/>
      <name val="Calibri Light"/>
      <family val="2"/>
    </font>
    <font>
      <sz val="8"/>
      <name val="Calibri"/>
      <family val="2"/>
    </font>
    <font>
      <sz val="11"/>
      <color theme="1"/>
      <name val="Calibri Light"/>
      <family val="2"/>
    </font>
    <font>
      <b/>
      <i/>
      <sz val="11"/>
      <color theme="0" tint="-4.9989318521683403E-2"/>
      <name val="Calibri Light"/>
      <family val="2"/>
    </font>
    <font>
      <sz val="11"/>
      <color theme="0" tint="-4.9989318521683403E-2"/>
      <name val="Calibri Light"/>
      <family val="2"/>
    </font>
    <font>
      <b/>
      <sz val="11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2" fillId="2" borderId="0" xfId="0" applyFont="1" applyFill="1"/>
    <xf numFmtId="0" fontId="3" fillId="0" borderId="0" xfId="0" applyFont="1"/>
    <xf numFmtId="17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1" applyNumberFormat="1" applyFont="1"/>
    <xf numFmtId="164" fontId="6" fillId="0" borderId="0" xfId="1" applyNumberFormat="1" applyFont="1"/>
    <xf numFmtId="164" fontId="3" fillId="0" borderId="0" xfId="1" applyNumberFormat="1" applyFon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right"/>
    </xf>
    <xf numFmtId="43" fontId="3" fillId="0" borderId="0" xfId="1" applyFont="1" applyAlignment="1">
      <alignment horizontal="right"/>
    </xf>
    <xf numFmtId="43" fontId="0" fillId="0" borderId="0" xfId="1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  <xf numFmtId="43" fontId="1" fillId="0" borderId="0" xfId="1" applyFont="1" applyAlignment="1">
      <alignment horizontal="right"/>
    </xf>
    <xf numFmtId="164" fontId="1" fillId="0" borderId="0" xfId="1" applyNumberFormat="1" applyFont="1"/>
    <xf numFmtId="43" fontId="6" fillId="0" borderId="0" xfId="1" applyFont="1" applyAlignment="1">
      <alignment horizontal="right"/>
    </xf>
    <xf numFmtId="0" fontId="6" fillId="0" borderId="0" xfId="0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vertical="center" wrapText="1"/>
    </xf>
    <xf numFmtId="10" fontId="0" fillId="0" borderId="0" xfId="1" applyNumberFormat="1" applyFont="1" applyAlignment="1">
      <alignment horizontal="center"/>
    </xf>
    <xf numFmtId="43" fontId="0" fillId="0" borderId="0" xfId="0" applyNumberFormat="1"/>
    <xf numFmtId="10" fontId="0" fillId="0" borderId="0" xfId="2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10" fontId="7" fillId="0" borderId="1" xfId="2" applyNumberFormat="1" applyFont="1" applyBorder="1"/>
    <xf numFmtId="0" fontId="8" fillId="0" borderId="2" xfId="0" applyFont="1" applyBorder="1"/>
    <xf numFmtId="10" fontId="8" fillId="0" borderId="3" xfId="2" applyNumberFormat="1" applyFont="1" applyBorder="1"/>
    <xf numFmtId="0" fontId="8" fillId="0" borderId="4" xfId="0" applyFont="1" applyBorder="1"/>
    <xf numFmtId="10" fontId="8" fillId="0" borderId="5" xfId="2" applyNumberFormat="1" applyFont="1" applyBorder="1"/>
    <xf numFmtId="0" fontId="8" fillId="0" borderId="6" xfId="0" applyFont="1" applyBorder="1"/>
    <xf numFmtId="10" fontId="8" fillId="0" borderId="7" xfId="0" applyNumberFormat="1" applyFont="1" applyBorder="1"/>
    <xf numFmtId="2" fontId="0" fillId="0" borderId="0" xfId="1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3" fontId="0" fillId="0" borderId="0" xfId="1" applyFont="1"/>
    <xf numFmtId="0" fontId="9" fillId="0" borderId="0" xfId="0" applyFont="1" applyAlignment="1">
      <alignment horizontal="center"/>
    </xf>
    <xf numFmtId="0" fontId="9" fillId="3" borderId="0" xfId="0" applyFont="1" applyFill="1"/>
    <xf numFmtId="0" fontId="10" fillId="0" borderId="0" xfId="0" applyFont="1"/>
    <xf numFmtId="43" fontId="3" fillId="0" borderId="0" xfId="1" applyFont="1"/>
    <xf numFmtId="0" fontId="3" fillId="0" borderId="8" xfId="0" applyFont="1" applyBorder="1"/>
    <xf numFmtId="43" fontId="3" fillId="0" borderId="8" xfId="1" applyFont="1" applyBorder="1"/>
    <xf numFmtId="0" fontId="3" fillId="0" borderId="9" xfId="0" applyFont="1" applyBorder="1"/>
    <xf numFmtId="43" fontId="3" fillId="0" borderId="9" xfId="1" applyFont="1" applyBorder="1"/>
    <xf numFmtId="10" fontId="11" fillId="0" borderId="0" xfId="2" applyNumberFormat="1" applyFont="1"/>
    <xf numFmtId="10" fontId="11" fillId="0" borderId="0" xfId="2" applyNumberFormat="1" applyFont="1" applyAlignment="1">
      <alignment vertical="center"/>
    </xf>
    <xf numFmtId="10" fontId="11" fillId="0" borderId="0" xfId="2" applyNumberFormat="1" applyFont="1" applyAlignment="1">
      <alignment horizontal="right" vertical="center"/>
    </xf>
    <xf numFmtId="10" fontId="11" fillId="0" borderId="0" xfId="2" applyNumberFormat="1" applyFont="1" applyAlignment="1"/>
    <xf numFmtId="0" fontId="3" fillId="4" borderId="0" xfId="0" applyFont="1" applyFill="1" applyAlignment="1">
      <alignment horizontal="center"/>
    </xf>
    <xf numFmtId="43" fontId="0" fillId="4" borderId="0" xfId="1" applyFont="1" applyFill="1"/>
    <xf numFmtId="43" fontId="3" fillId="4" borderId="0" xfId="0" applyNumberFormat="1" applyFont="1" applyFill="1"/>
    <xf numFmtId="10" fontId="11" fillId="4" borderId="0" xfId="2" applyNumberFormat="1" applyFont="1" applyFill="1" applyAlignment="1">
      <alignment vertical="center"/>
    </xf>
    <xf numFmtId="43" fontId="0" fillId="4" borderId="0" xfId="0" applyNumberFormat="1" applyFill="1"/>
    <xf numFmtId="43" fontId="3" fillId="4" borderId="8" xfId="1" applyFont="1" applyFill="1" applyBorder="1"/>
    <xf numFmtId="43" fontId="3" fillId="4" borderId="8" xfId="0" applyNumberFormat="1" applyFont="1" applyFill="1" applyBorder="1"/>
    <xf numFmtId="0" fontId="0" fillId="4" borderId="0" xfId="0" applyFill="1"/>
    <xf numFmtId="2" fontId="3" fillId="4" borderId="8" xfId="0" applyNumberFormat="1" applyFont="1" applyFill="1" applyBorder="1"/>
    <xf numFmtId="10" fontId="11" fillId="4" borderId="0" xfId="2" applyNumberFormat="1" applyFont="1" applyFill="1" applyAlignment="1">
      <alignment horizontal="right" vertical="center"/>
    </xf>
    <xf numFmtId="2" fontId="0" fillId="4" borderId="0" xfId="0" applyNumberFormat="1" applyFill="1"/>
    <xf numFmtId="2" fontId="0" fillId="0" borderId="0" xfId="0" applyNumberFormat="1" applyAlignment="1">
      <alignment horizontal="right"/>
    </xf>
    <xf numFmtId="2" fontId="3" fillId="0" borderId="0" xfId="0" applyNumberFormat="1" applyFont="1"/>
    <xf numFmtId="2" fontId="3" fillId="4" borderId="0" xfId="0" applyNumberFormat="1" applyFont="1" applyFill="1"/>
    <xf numFmtId="43" fontId="3" fillId="4" borderId="9" xfId="1" applyFont="1" applyFill="1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0" fontId="11" fillId="0" borderId="0" xfId="2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top"/>
    </xf>
    <xf numFmtId="0" fontId="4" fillId="2" borderId="0" xfId="0" applyFont="1" applyFill="1"/>
    <xf numFmtId="0" fontId="4" fillId="2" borderId="10" xfId="0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2" applyFont="1" applyAlignment="1">
      <alignment horizontal="center"/>
    </xf>
    <xf numFmtId="9" fontId="0" fillId="0" borderId="0" xfId="2" applyFont="1"/>
    <xf numFmtId="9" fontId="12" fillId="0" borderId="0" xfId="2" applyFont="1" applyAlignment="1">
      <alignment horizontal="center"/>
    </xf>
    <xf numFmtId="2" fontId="0" fillId="0" borderId="0" xfId="0" applyNumberFormat="1"/>
    <xf numFmtId="9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right"/>
    </xf>
    <xf numFmtId="10" fontId="0" fillId="0" borderId="0" xfId="2" applyNumberFormat="1" applyFont="1" applyAlignment="1">
      <alignment horizontal="right"/>
    </xf>
    <xf numFmtId="165" fontId="0" fillId="0" borderId="0" xfId="2" applyNumberFormat="1" applyFont="1"/>
    <xf numFmtId="10" fontId="0" fillId="0" borderId="0" xfId="2" applyNumberFormat="1" applyFont="1"/>
    <xf numFmtId="9" fontId="12" fillId="0" borderId="0" xfId="0" applyNumberFormat="1" applyFont="1" applyAlignment="1">
      <alignment horizontal="center"/>
    </xf>
    <xf numFmtId="43" fontId="3" fillId="0" borderId="0" xfId="0" applyNumberFormat="1" applyFont="1"/>
    <xf numFmtId="0" fontId="2" fillId="2" borderId="0" xfId="0" applyFont="1" applyFill="1" applyAlignment="1">
      <alignment horizontal="left" vertical="top"/>
    </xf>
    <xf numFmtId="10" fontId="1" fillId="0" borderId="0" xfId="2" applyNumberFormat="1" applyFont="1" applyAlignment="1">
      <alignment horizontal="center"/>
    </xf>
    <xf numFmtId="10" fontId="3" fillId="0" borderId="0" xfId="2" applyNumberFormat="1" applyFont="1" applyAlignment="1">
      <alignment horizontal="center"/>
    </xf>
    <xf numFmtId="0" fontId="0" fillId="3" borderId="0" xfId="0" applyFill="1" applyAlignment="1">
      <alignment horizontal="center"/>
    </xf>
    <xf numFmtId="10" fontId="1" fillId="0" borderId="0" xfId="2" quotePrefix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4" borderId="0" xfId="2" applyNumberFormat="1" applyFont="1" applyFill="1" applyAlignment="1">
      <alignment horizontal="center"/>
    </xf>
    <xf numFmtId="10" fontId="3" fillId="4" borderId="0" xfId="2" applyNumberFormat="1" applyFon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166" fontId="0" fillId="7" borderId="0" xfId="0" applyNumberFormat="1" applyFill="1"/>
    <xf numFmtId="0" fontId="13" fillId="2" borderId="0" xfId="0" applyFont="1" applyFill="1"/>
    <xf numFmtId="0" fontId="0" fillId="4" borderId="0" xfId="0" applyFill="1" applyAlignment="1">
      <alignment horizontal="center"/>
    </xf>
    <xf numFmtId="10" fontId="0" fillId="0" borderId="0" xfId="0" applyNumberFormat="1"/>
    <xf numFmtId="10" fontId="3" fillId="0" borderId="0" xfId="2" applyNumberFormat="1" applyFont="1"/>
    <xf numFmtId="10" fontId="11" fillId="8" borderId="0" xfId="2" applyNumberFormat="1" applyFont="1" applyFill="1" applyAlignment="1">
      <alignment vertical="center"/>
    </xf>
    <xf numFmtId="2" fontId="0" fillId="9" borderId="1" xfId="1" applyNumberFormat="1" applyFont="1" applyFill="1" applyBorder="1"/>
    <xf numFmtId="2" fontId="0" fillId="9" borderId="1" xfId="0" applyNumberFormat="1" applyFill="1" applyBorder="1"/>
    <xf numFmtId="9" fontId="3" fillId="0" borderId="0" xfId="0" applyNumberFormat="1" applyFont="1" applyAlignment="1">
      <alignment horizontal="center"/>
    </xf>
    <xf numFmtId="9" fontId="0" fillId="10" borderId="1" xfId="0" applyNumberFormat="1" applyFill="1" applyBorder="1" applyAlignment="1">
      <alignment horizontal="right"/>
    </xf>
    <xf numFmtId="0" fontId="13" fillId="6" borderId="0" xfId="0" applyFont="1" applyFill="1" applyAlignment="1">
      <alignment horizontal="center"/>
    </xf>
    <xf numFmtId="0" fontId="16" fillId="0" borderId="0" xfId="0" applyFont="1"/>
    <xf numFmtId="0" fontId="16" fillId="6" borderId="0" xfId="0" applyFont="1" applyFill="1"/>
    <xf numFmtId="0" fontId="18" fillId="0" borderId="0" xfId="0" applyFont="1"/>
    <xf numFmtId="10" fontId="0" fillId="11" borderId="0" xfId="2" applyNumberFormat="1" applyFont="1" applyFill="1"/>
    <xf numFmtId="2" fontId="0" fillId="11" borderId="0" xfId="2" applyNumberFormat="1" applyFont="1" applyFill="1"/>
    <xf numFmtId="166" fontId="0" fillId="11" borderId="0" xfId="0" applyNumberFormat="1" applyFill="1"/>
    <xf numFmtId="10" fontId="0" fillId="7" borderId="0" xfId="2" applyNumberFormat="1" applyFont="1" applyFill="1"/>
    <xf numFmtId="2" fontId="0" fillId="7" borderId="0" xfId="0" applyNumberFormat="1" applyFill="1"/>
    <xf numFmtId="2" fontId="11" fillId="0" borderId="0" xfId="2" applyNumberFormat="1" applyFont="1"/>
    <xf numFmtId="165" fontId="0" fillId="0" borderId="0" xfId="0" applyNumberFormat="1" applyAlignment="1">
      <alignment horizontal="center" vertical="center"/>
    </xf>
    <xf numFmtId="0" fontId="8" fillId="2" borderId="0" xfId="0" applyFont="1" applyFill="1"/>
    <xf numFmtId="0" fontId="0" fillId="2" borderId="0" xfId="0" applyFill="1"/>
    <xf numFmtId="0" fontId="3" fillId="2" borderId="0" xfId="0" applyFont="1" applyFill="1"/>
    <xf numFmtId="0" fontId="19" fillId="0" borderId="1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0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 vertical="center" wrapText="1"/>
    </xf>
    <xf numFmtId="0" fontId="17" fillId="6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4FF7-2E73-4E48-B9DF-04CBCEB91927}">
  <dimension ref="A1:U98"/>
  <sheetViews>
    <sheetView showGridLines="0" zoomScaleNormal="100" workbookViewId="0">
      <pane xSplit="5" ySplit="1" topLeftCell="I86" activePane="bottomRight" state="frozen"/>
      <selection pane="topRight" activeCell="F1" sqref="F1"/>
      <selection pane="bottomLeft" activeCell="A2" sqref="A2"/>
      <selection pane="bottomRight" activeCell="K105" sqref="K105"/>
    </sheetView>
  </sheetViews>
  <sheetFormatPr defaultRowHeight="14.4" x14ac:dyDescent="0.3"/>
  <cols>
    <col min="1" max="3" width="3" customWidth="1"/>
    <col min="4" max="4" width="36.33203125" customWidth="1"/>
    <col min="5" max="5" width="6.6640625" style="7" bestFit="1" customWidth="1"/>
    <col min="6" max="6" width="11.33203125" style="15" bestFit="1" customWidth="1"/>
    <col min="7" max="11" width="12.6640625" customWidth="1"/>
    <col min="12" max="12" width="12.33203125" bestFit="1" customWidth="1"/>
    <col min="13" max="23" width="10.6640625" customWidth="1"/>
  </cols>
  <sheetData>
    <row r="1" spans="1:11" s="1" customFormat="1" x14ac:dyDescent="0.3">
      <c r="A1" s="1" t="s">
        <v>0</v>
      </c>
      <c r="E1" s="12" t="s">
        <v>1</v>
      </c>
      <c r="F1" s="13" t="s">
        <v>2</v>
      </c>
    </row>
    <row r="3" spans="1:11" s="2" customFormat="1" x14ac:dyDescent="0.3">
      <c r="A3" s="2" t="s">
        <v>3</v>
      </c>
      <c r="E3" s="6"/>
      <c r="F3" s="14"/>
    </row>
    <row r="4" spans="1:11" x14ac:dyDescent="0.3">
      <c r="B4" t="s">
        <v>4</v>
      </c>
      <c r="E4" s="7" t="s">
        <v>5</v>
      </c>
      <c r="F4" s="15">
        <v>9901.35</v>
      </c>
    </row>
    <row r="5" spans="1:11" x14ac:dyDescent="0.3">
      <c r="B5" t="s">
        <v>6</v>
      </c>
    </row>
    <row r="6" spans="1:11" x14ac:dyDescent="0.3">
      <c r="C6" t="s">
        <v>7</v>
      </c>
      <c r="E6" s="7" t="s">
        <v>125</v>
      </c>
      <c r="F6" s="15">
        <f>288187916/10^7</f>
        <v>28.818791600000001</v>
      </c>
    </row>
    <row r="7" spans="1:11" x14ac:dyDescent="0.3">
      <c r="B7" t="s">
        <v>8</v>
      </c>
    </row>
    <row r="8" spans="1:11" x14ac:dyDescent="0.3">
      <c r="C8" t="s">
        <v>9</v>
      </c>
      <c r="E8" s="7" t="s">
        <v>125</v>
      </c>
      <c r="F8" s="15">
        <f>504089/10^7</f>
        <v>5.04089E-2</v>
      </c>
      <c r="I8" s="100"/>
    </row>
    <row r="9" spans="1:11" x14ac:dyDescent="0.3">
      <c r="C9" t="s">
        <v>10</v>
      </c>
      <c r="F9" s="15">
        <v>9816.2999999999993</v>
      </c>
    </row>
    <row r="11" spans="1:11" x14ac:dyDescent="0.3">
      <c r="B11" s="2" t="s">
        <v>11</v>
      </c>
      <c r="C11" s="2"/>
      <c r="D11" s="2"/>
      <c r="E11" s="6"/>
      <c r="F11" s="14"/>
      <c r="G11" s="3">
        <v>43891</v>
      </c>
      <c r="H11" s="3">
        <v>44256</v>
      </c>
      <c r="I11" s="3">
        <v>44621</v>
      </c>
      <c r="J11" s="3">
        <v>44986</v>
      </c>
      <c r="K11" s="3">
        <v>45352</v>
      </c>
    </row>
    <row r="12" spans="1:11" x14ac:dyDescent="0.3">
      <c r="B12" t="s">
        <v>12</v>
      </c>
    </row>
    <row r="13" spans="1:11" x14ac:dyDescent="0.3">
      <c r="C13" t="s">
        <v>13</v>
      </c>
      <c r="E13" s="7" t="s">
        <v>14</v>
      </c>
      <c r="G13" s="9">
        <v>36602.92</v>
      </c>
      <c r="H13" s="9">
        <v>39687.769999999997</v>
      </c>
      <c r="I13" s="9">
        <v>46079.75</v>
      </c>
      <c r="J13" s="9">
        <v>55582.89</v>
      </c>
      <c r="K13" s="9">
        <v>65432.67</v>
      </c>
    </row>
    <row r="14" spans="1:11" x14ac:dyDescent="0.3">
      <c r="C14" t="s">
        <v>15</v>
      </c>
      <c r="E14" s="7" t="s">
        <v>14</v>
      </c>
      <c r="G14" s="9">
        <v>3430.09</v>
      </c>
      <c r="H14" s="9">
        <v>2988.9</v>
      </c>
      <c r="I14" s="9">
        <v>3648.25</v>
      </c>
      <c r="J14" s="9">
        <v>4878.67</v>
      </c>
      <c r="K14" s="9">
        <v>2098.77</v>
      </c>
    </row>
    <row r="15" spans="1:11" x14ac:dyDescent="0.3">
      <c r="C15" t="s">
        <v>16</v>
      </c>
      <c r="E15" s="7" t="s">
        <v>14</v>
      </c>
      <c r="G15" s="9">
        <v>0.24</v>
      </c>
      <c r="H15" s="9">
        <v>0.33</v>
      </c>
      <c r="I15" s="9">
        <v>1.38</v>
      </c>
      <c r="J15" s="9">
        <v>1.04</v>
      </c>
      <c r="K15" s="9">
        <v>4.29</v>
      </c>
    </row>
    <row r="16" spans="1:11" x14ac:dyDescent="0.3">
      <c r="C16" t="s">
        <v>17</v>
      </c>
      <c r="E16" s="7" t="s">
        <v>14</v>
      </c>
      <c r="G16" s="9">
        <v>615.91999999999996</v>
      </c>
      <c r="H16" s="9">
        <v>511.34</v>
      </c>
      <c r="I16" s="9">
        <v>934.11</v>
      </c>
      <c r="J16" s="9">
        <v>863.9</v>
      </c>
      <c r="K16" s="9">
        <v>1104.9000000000001</v>
      </c>
    </row>
    <row r="17" spans="2:12" s="2" customFormat="1" x14ac:dyDescent="0.3">
      <c r="C17" s="5" t="s">
        <v>18</v>
      </c>
      <c r="E17" s="6" t="s">
        <v>14</v>
      </c>
      <c r="F17" s="14"/>
      <c r="G17" s="10">
        <v>40649.17</v>
      </c>
      <c r="H17" s="10">
        <v>43188.34</v>
      </c>
      <c r="I17" s="10">
        <v>50663.49</v>
      </c>
      <c r="J17" s="10">
        <v>61326.5</v>
      </c>
      <c r="K17" s="10">
        <v>68640.63</v>
      </c>
    </row>
    <row r="18" spans="2:12" x14ac:dyDescent="0.3">
      <c r="B18" t="s">
        <v>19</v>
      </c>
      <c r="E18" s="7" t="s">
        <v>14</v>
      </c>
      <c r="G18" s="9">
        <v>726.58</v>
      </c>
      <c r="H18" s="9">
        <v>788.68</v>
      </c>
      <c r="I18" s="9">
        <v>611.79999999999995</v>
      </c>
      <c r="J18" s="9">
        <v>689.43</v>
      </c>
      <c r="K18" s="9">
        <v>662.15</v>
      </c>
    </row>
    <row r="19" spans="2:12" s="2" customFormat="1" x14ac:dyDescent="0.3">
      <c r="B19" s="2" t="s">
        <v>20</v>
      </c>
      <c r="E19" s="6" t="s">
        <v>14</v>
      </c>
      <c r="F19" s="14"/>
      <c r="G19" s="11">
        <v>41375.75</v>
      </c>
      <c r="H19" s="11">
        <v>43977.02</v>
      </c>
      <c r="I19" s="11">
        <v>51275.29</v>
      </c>
      <c r="J19" s="11">
        <v>62015.93</v>
      </c>
      <c r="K19" s="11">
        <v>69302.78</v>
      </c>
    </row>
    <row r="20" spans="2:12" x14ac:dyDescent="0.3">
      <c r="C20" t="s">
        <v>21</v>
      </c>
      <c r="E20" s="7" t="s">
        <v>14</v>
      </c>
      <c r="G20" s="9">
        <f>4960.81-14.3</f>
        <v>4946.51</v>
      </c>
      <c r="H20" s="9">
        <v>5174.9399999999996</v>
      </c>
      <c r="I20" s="9">
        <v>6459.77</v>
      </c>
      <c r="J20" s="9">
        <v>8504.1299999999992</v>
      </c>
      <c r="K20" s="9">
        <v>9543.4599999999991</v>
      </c>
    </row>
    <row r="21" spans="2:12" x14ac:dyDescent="0.3">
      <c r="C21" t="s">
        <v>22</v>
      </c>
      <c r="E21" s="7" t="s">
        <v>14</v>
      </c>
      <c r="G21" s="9">
        <v>2262.7800000000002</v>
      </c>
      <c r="H21" s="9">
        <v>1936.7</v>
      </c>
      <c r="I21" s="9">
        <v>2458.19</v>
      </c>
      <c r="J21" s="9">
        <v>3020.7</v>
      </c>
      <c r="K21" s="9">
        <v>1700.89</v>
      </c>
    </row>
    <row r="22" spans="2:12" x14ac:dyDescent="0.3">
      <c r="C22" t="s">
        <v>23</v>
      </c>
      <c r="E22" s="7" t="s">
        <v>14</v>
      </c>
      <c r="G22" s="9">
        <v>-362.74</v>
      </c>
      <c r="H22" s="9">
        <v>426.44</v>
      </c>
      <c r="I22" s="9">
        <v>-358.37</v>
      </c>
      <c r="J22" s="9">
        <v>-490.37</v>
      </c>
      <c r="K22" s="9">
        <v>-56.85</v>
      </c>
    </row>
    <row r="23" spans="2:12" x14ac:dyDescent="0.3">
      <c r="C23" t="s">
        <v>24</v>
      </c>
      <c r="E23" s="7" t="s">
        <v>14</v>
      </c>
      <c r="G23" s="9">
        <v>2336.17</v>
      </c>
      <c r="H23" s="9">
        <v>2181.9899999999998</v>
      </c>
      <c r="I23" s="9">
        <v>2359.08</v>
      </c>
      <c r="J23" s="9">
        <v>2561.6</v>
      </c>
      <c r="K23" s="9">
        <v>2910.46</v>
      </c>
    </row>
    <row r="24" spans="2:12" x14ac:dyDescent="0.3">
      <c r="C24" t="s">
        <v>25</v>
      </c>
      <c r="E24" s="7" t="s">
        <v>14</v>
      </c>
      <c r="G24" s="9">
        <v>1704.22</v>
      </c>
      <c r="H24" s="9">
        <v>1259.08</v>
      </c>
      <c r="I24" s="9">
        <v>798.37</v>
      </c>
      <c r="J24" s="9">
        <v>755</v>
      </c>
      <c r="K24" s="9">
        <v>866.8</v>
      </c>
      <c r="L24" s="27"/>
    </row>
    <row r="25" spans="2:12" x14ac:dyDescent="0.3">
      <c r="C25" t="s">
        <v>26</v>
      </c>
      <c r="E25" s="7" t="s">
        <v>14</v>
      </c>
      <c r="G25" s="9">
        <v>2454.9</v>
      </c>
      <c r="H25" s="9">
        <v>2434.35</v>
      </c>
      <c r="I25" s="9">
        <v>2456.7600000000002</v>
      </c>
      <c r="J25" s="9">
        <v>2619.2399999999998</v>
      </c>
      <c r="K25" s="9">
        <v>3027.43</v>
      </c>
    </row>
    <row r="26" spans="2:12" x14ac:dyDescent="0.3">
      <c r="C26" t="s">
        <v>27</v>
      </c>
      <c r="E26" s="7" t="s">
        <v>14</v>
      </c>
      <c r="G26" s="9">
        <v>7703.19</v>
      </c>
      <c r="H26" s="9">
        <v>7552.02</v>
      </c>
      <c r="I26" s="9">
        <v>10951.95</v>
      </c>
      <c r="J26" s="9">
        <v>16759.88</v>
      </c>
      <c r="K26" s="9">
        <v>17602.38</v>
      </c>
    </row>
    <row r="27" spans="2:12" x14ac:dyDescent="0.3">
      <c r="C27" t="s">
        <v>28</v>
      </c>
      <c r="E27" s="7" t="s">
        <v>14</v>
      </c>
      <c r="G27" s="9">
        <v>9631.85</v>
      </c>
      <c r="H27" s="9">
        <v>9939.56</v>
      </c>
      <c r="I27" s="9">
        <v>11567.64</v>
      </c>
      <c r="J27" s="9">
        <v>13814.23</v>
      </c>
      <c r="K27" s="9">
        <v>15715.31</v>
      </c>
    </row>
    <row r="28" spans="2:12" x14ac:dyDescent="0.3">
      <c r="C28" t="s">
        <v>29</v>
      </c>
      <c r="E28" s="7" t="s">
        <v>14</v>
      </c>
      <c r="G28" s="9">
        <v>5479.11</v>
      </c>
      <c r="H28" s="9">
        <v>5011.87</v>
      </c>
      <c r="I28" s="9">
        <v>6288.81</v>
      </c>
      <c r="J28" s="9">
        <v>7225.15</v>
      </c>
      <c r="K28" s="9">
        <v>8604.92</v>
      </c>
    </row>
    <row r="29" spans="2:12" s="2" customFormat="1" x14ac:dyDescent="0.3">
      <c r="B29" s="2" t="s">
        <v>30</v>
      </c>
      <c r="E29" s="6" t="s">
        <v>14</v>
      </c>
      <c r="F29" s="14"/>
      <c r="G29" s="11">
        <v>36155.99</v>
      </c>
      <c r="H29" s="11">
        <v>35916.949999999997</v>
      </c>
      <c r="I29" s="11">
        <v>42982.2</v>
      </c>
      <c r="J29" s="11">
        <v>54769.56</v>
      </c>
      <c r="K29" s="11">
        <v>59914.8</v>
      </c>
    </row>
    <row r="30" spans="2:12" x14ac:dyDescent="0.3">
      <c r="B30" t="s">
        <v>31</v>
      </c>
      <c r="E30" s="7" t="s">
        <v>14</v>
      </c>
      <c r="G30" s="9">
        <v>5219.76</v>
      </c>
      <c r="H30" s="9">
        <v>8060.07</v>
      </c>
      <c r="I30" s="9">
        <v>8293.09</v>
      </c>
      <c r="J30" s="9">
        <v>7246.37</v>
      </c>
      <c r="K30" s="9">
        <v>9387.98</v>
      </c>
    </row>
    <row r="31" spans="2:12" x14ac:dyDescent="0.3">
      <c r="C31" t="s">
        <v>32</v>
      </c>
      <c r="E31" s="7" t="s">
        <v>14</v>
      </c>
      <c r="G31" s="9"/>
      <c r="H31" s="9">
        <v>-164</v>
      </c>
      <c r="I31" s="9"/>
      <c r="J31" s="9"/>
      <c r="K31" s="9">
        <v>-72</v>
      </c>
    </row>
    <row r="32" spans="2:12" x14ac:dyDescent="0.3">
      <c r="B32" t="s">
        <v>33</v>
      </c>
      <c r="E32" s="7" t="s">
        <v>14</v>
      </c>
      <c r="G32" s="9">
        <v>5219.76</v>
      </c>
      <c r="H32" s="9">
        <v>7896.07</v>
      </c>
      <c r="I32" s="9">
        <v>8293.09</v>
      </c>
      <c r="J32" s="9">
        <v>7246.37</v>
      </c>
      <c r="K32" s="9">
        <v>9315.98</v>
      </c>
    </row>
    <row r="33" spans="1:11" x14ac:dyDescent="0.3">
      <c r="C33" t="s">
        <v>34</v>
      </c>
      <c r="E33" s="7" t="s">
        <v>14</v>
      </c>
      <c r="G33" s="9">
        <v>-235.78</v>
      </c>
      <c r="H33" s="9">
        <v>2554</v>
      </c>
      <c r="I33" s="9">
        <v>1226.55</v>
      </c>
      <c r="J33" s="9">
        <v>2329.4899999999998</v>
      </c>
      <c r="K33" s="9">
        <v>2411.11</v>
      </c>
    </row>
    <row r="34" spans="1:11" x14ac:dyDescent="0.3">
      <c r="B34" s="2" t="s">
        <v>35</v>
      </c>
      <c r="C34" s="2"/>
      <c r="D34" s="2"/>
      <c r="E34" s="6" t="s">
        <v>14</v>
      </c>
      <c r="F34" s="14"/>
      <c r="G34" s="11">
        <v>5455.54</v>
      </c>
      <c r="H34" s="11">
        <v>5342.07</v>
      </c>
      <c r="I34" s="11">
        <v>7066.54</v>
      </c>
      <c r="J34" s="11">
        <v>4916.88</v>
      </c>
      <c r="K34" s="11">
        <v>6904.87</v>
      </c>
    </row>
    <row r="36" spans="1:11" x14ac:dyDescent="0.3">
      <c r="B36" s="2" t="s">
        <v>36</v>
      </c>
    </row>
    <row r="37" spans="1:11" x14ac:dyDescent="0.3">
      <c r="C37" t="s">
        <v>37</v>
      </c>
      <c r="F37" s="97">
        <f>542.4+228.1</f>
        <v>770.5</v>
      </c>
    </row>
    <row r="38" spans="1:11" x14ac:dyDescent="0.3">
      <c r="C38" t="s">
        <v>38</v>
      </c>
      <c r="F38" s="97">
        <f>F39+F40</f>
        <v>23008.18</v>
      </c>
    </row>
    <row r="39" spans="1:11" x14ac:dyDescent="0.3">
      <c r="D39" t="s">
        <v>126</v>
      </c>
      <c r="E39" s="7" t="s">
        <v>14</v>
      </c>
      <c r="F39" s="97">
        <v>5501.75</v>
      </c>
    </row>
    <row r="40" spans="1:11" x14ac:dyDescent="0.3">
      <c r="D40" t="s">
        <v>127</v>
      </c>
      <c r="E40" s="7" t="s">
        <v>14</v>
      </c>
      <c r="F40" s="97">
        <v>17506.43</v>
      </c>
    </row>
    <row r="41" spans="1:11" x14ac:dyDescent="0.3">
      <c r="C41" t="s">
        <v>128</v>
      </c>
      <c r="E41" s="7" t="s">
        <v>14</v>
      </c>
      <c r="F41" s="97">
        <v>59095.23</v>
      </c>
    </row>
    <row r="42" spans="1:11" x14ac:dyDescent="0.3">
      <c r="C42" t="s">
        <v>39</v>
      </c>
      <c r="F42" s="96">
        <v>0.4</v>
      </c>
    </row>
    <row r="45" spans="1:11" s="2" customFormat="1" x14ac:dyDescent="0.3">
      <c r="A45" s="2" t="s">
        <v>40</v>
      </c>
      <c r="E45" s="6"/>
      <c r="F45" s="14"/>
    </row>
    <row r="46" spans="1:11" s="2" customFormat="1" x14ac:dyDescent="0.3">
      <c r="E46" s="6"/>
      <c r="F46" s="14"/>
    </row>
    <row r="47" spans="1:11" x14ac:dyDescent="0.3">
      <c r="B47" t="s">
        <v>41</v>
      </c>
      <c r="E47" s="7" t="s">
        <v>5</v>
      </c>
      <c r="F47" s="15">
        <v>204.55</v>
      </c>
    </row>
    <row r="48" spans="1:11" x14ac:dyDescent="0.3">
      <c r="B48" t="s">
        <v>6</v>
      </c>
    </row>
    <row r="49" spans="2:21" x14ac:dyDescent="0.3">
      <c r="C49" t="s">
        <v>7</v>
      </c>
      <c r="E49" s="7" t="s">
        <v>125</v>
      </c>
      <c r="F49" s="15">
        <f>309897201/10^7</f>
        <v>30.9897201</v>
      </c>
    </row>
    <row r="51" spans="2:21" x14ac:dyDescent="0.3">
      <c r="B51" s="2" t="s">
        <v>11</v>
      </c>
      <c r="C51" s="2"/>
      <c r="D51" s="2"/>
      <c r="E51" s="6"/>
      <c r="F51" s="14"/>
      <c r="G51" s="3">
        <v>43891</v>
      </c>
      <c r="H51" s="3">
        <v>44256</v>
      </c>
      <c r="I51" s="3">
        <v>44621</v>
      </c>
      <c r="J51" s="3">
        <v>44986</v>
      </c>
      <c r="K51" s="3">
        <v>45352</v>
      </c>
      <c r="P51" s="16"/>
      <c r="Q51" s="16"/>
      <c r="R51" s="16"/>
      <c r="S51" s="16"/>
      <c r="T51" s="16"/>
      <c r="U51" s="16"/>
    </row>
    <row r="52" spans="2:21" x14ac:dyDescent="0.3">
      <c r="B52" t="s">
        <v>12</v>
      </c>
      <c r="P52" s="18"/>
      <c r="Q52" s="17"/>
      <c r="R52" s="17"/>
      <c r="S52" s="17"/>
      <c r="T52" s="17"/>
      <c r="U52" s="17"/>
    </row>
    <row r="53" spans="2:21" x14ac:dyDescent="0.3">
      <c r="C53" t="s">
        <v>13</v>
      </c>
      <c r="E53" s="7" t="s">
        <v>14</v>
      </c>
      <c r="G53" s="9">
        <v>4903.9057000000003</v>
      </c>
      <c r="H53" s="9">
        <v>4311.0612000000001</v>
      </c>
      <c r="I53" s="9">
        <v>4547.9295000000002</v>
      </c>
      <c r="J53" s="9">
        <v>5172.5951000000005</v>
      </c>
      <c r="K53" s="9">
        <v>4784.1248999999998</v>
      </c>
      <c r="P53" s="17"/>
      <c r="Q53" s="17"/>
      <c r="R53" s="17"/>
      <c r="S53" s="17"/>
      <c r="T53" s="17"/>
      <c r="U53" s="17"/>
    </row>
    <row r="54" spans="2:21" x14ac:dyDescent="0.3">
      <c r="C54" t="s">
        <v>17</v>
      </c>
      <c r="E54" s="7" t="s">
        <v>14</v>
      </c>
      <c r="G54" s="9">
        <v>153.63549999999989</v>
      </c>
      <c r="H54" s="9">
        <v>125.6067</v>
      </c>
      <c r="I54" s="9">
        <v>165.18390000000014</v>
      </c>
      <c r="J54" s="9">
        <v>208.21520000000018</v>
      </c>
      <c r="K54" s="9">
        <v>158.30929999999992</v>
      </c>
      <c r="P54" s="17"/>
      <c r="Q54" s="17"/>
      <c r="R54" s="17"/>
      <c r="S54" s="17"/>
      <c r="T54" s="17"/>
      <c r="U54" s="17"/>
    </row>
    <row r="55" spans="2:21" x14ac:dyDescent="0.3">
      <c r="C55" s="4" t="s">
        <v>18</v>
      </c>
      <c r="E55" s="7" t="s">
        <v>14</v>
      </c>
      <c r="G55" s="9">
        <v>5057.5411999999997</v>
      </c>
      <c r="H55" s="9">
        <v>4436.6678999999995</v>
      </c>
      <c r="I55" s="9">
        <v>4713.1134000000002</v>
      </c>
      <c r="J55" s="9">
        <v>5380.8103000000001</v>
      </c>
      <c r="K55" s="9">
        <v>4942.4341999999997</v>
      </c>
      <c r="P55" s="18"/>
      <c r="Q55" s="17"/>
      <c r="R55" s="17"/>
      <c r="S55" s="17"/>
      <c r="T55" s="17"/>
      <c r="U55" s="17"/>
    </row>
    <row r="56" spans="2:21" s="5" customFormat="1" x14ac:dyDescent="0.3">
      <c r="B56" s="5" t="s">
        <v>19</v>
      </c>
      <c r="E56" s="8" t="s">
        <v>14</v>
      </c>
      <c r="F56" s="22"/>
      <c r="G56" s="10">
        <v>27.734099999999998</v>
      </c>
      <c r="H56" s="10">
        <v>23.447700000000001</v>
      </c>
      <c r="I56" s="10">
        <v>16.7178</v>
      </c>
      <c r="J56" s="10">
        <v>34.2682</v>
      </c>
      <c r="K56" s="10">
        <v>54.322299999999998</v>
      </c>
      <c r="P56" s="23"/>
      <c r="Q56" s="23"/>
      <c r="R56" s="23"/>
      <c r="S56" s="23"/>
      <c r="T56" s="23"/>
      <c r="U56" s="23"/>
    </row>
    <row r="57" spans="2:21" s="2" customFormat="1" ht="13.95" customHeight="1" x14ac:dyDescent="0.3">
      <c r="B57" s="2" t="s">
        <v>20</v>
      </c>
      <c r="E57" s="6" t="s">
        <v>14</v>
      </c>
      <c r="F57" s="14"/>
      <c r="G57" s="25">
        <v>5085.2753000000002</v>
      </c>
      <c r="H57" s="25">
        <v>4460.1156000000001</v>
      </c>
      <c r="I57" s="25">
        <v>4729.8311999999996</v>
      </c>
      <c r="J57" s="25">
        <v>5415.0784999999996</v>
      </c>
      <c r="K57" s="11">
        <v>4996.7565000000004</v>
      </c>
      <c r="P57" s="18"/>
      <c r="Q57" s="18"/>
      <c r="R57" s="18"/>
      <c r="S57" s="18"/>
      <c r="T57" s="18"/>
      <c r="U57" s="18"/>
    </row>
    <row r="58" spans="2:21" x14ac:dyDescent="0.3">
      <c r="C58" t="s">
        <v>21</v>
      </c>
      <c r="E58" s="7" t="s">
        <v>14</v>
      </c>
      <c r="G58" s="24">
        <v>925.88210000000004</v>
      </c>
      <c r="H58" s="24">
        <v>701.50160000000005</v>
      </c>
      <c r="I58" s="24">
        <v>784.87020000000007</v>
      </c>
      <c r="J58" s="24">
        <v>947.91600000000005</v>
      </c>
      <c r="K58" s="9">
        <v>882.56910000000005</v>
      </c>
      <c r="P58" s="17"/>
      <c r="Q58" s="17"/>
      <c r="R58" s="17"/>
      <c r="S58" s="17"/>
      <c r="T58" s="17"/>
      <c r="U58" s="17"/>
    </row>
    <row r="59" spans="2:21" x14ac:dyDescent="0.3">
      <c r="C59" t="s">
        <v>22</v>
      </c>
      <c r="E59" s="7" t="s">
        <v>14</v>
      </c>
      <c r="F59" s="20"/>
      <c r="G59" s="24">
        <v>0.3987</v>
      </c>
      <c r="H59" s="24">
        <v>6.3E-2</v>
      </c>
      <c r="I59" s="24">
        <v>2.8799999999999999E-2</v>
      </c>
      <c r="J59" s="24">
        <v>38.827800000000003</v>
      </c>
      <c r="K59" s="9">
        <v>1.1072</v>
      </c>
      <c r="P59" s="17"/>
      <c r="Q59" s="17"/>
      <c r="R59" s="17"/>
      <c r="S59" s="17"/>
      <c r="T59" s="17"/>
      <c r="U59" s="17"/>
    </row>
    <row r="60" spans="2:21" x14ac:dyDescent="0.3">
      <c r="C60" t="s">
        <v>23</v>
      </c>
      <c r="E60" s="7" t="s">
        <v>14</v>
      </c>
      <c r="G60" s="24">
        <v>-24.6646</v>
      </c>
      <c r="H60" s="24">
        <v>76.611000000000004</v>
      </c>
      <c r="I60" s="24">
        <v>-28.145599999999998</v>
      </c>
      <c r="J60" s="24">
        <v>-49.906499999999994</v>
      </c>
      <c r="K60" s="9">
        <v>41.5441</v>
      </c>
      <c r="P60" s="17"/>
      <c r="Q60" s="17"/>
      <c r="R60" s="17"/>
      <c r="S60" s="17"/>
      <c r="T60" s="17"/>
      <c r="U60" s="17"/>
    </row>
    <row r="61" spans="2:21" x14ac:dyDescent="0.3">
      <c r="C61" t="s">
        <v>24</v>
      </c>
      <c r="E61" s="7" t="s">
        <v>14</v>
      </c>
      <c r="G61" s="24">
        <v>349.89459999999997</v>
      </c>
      <c r="H61" s="24">
        <v>331.30190000000005</v>
      </c>
      <c r="I61" s="24">
        <v>332.19120000000004</v>
      </c>
      <c r="J61" s="24">
        <v>358.32429999999999</v>
      </c>
      <c r="K61" s="21">
        <v>374.6943</v>
      </c>
      <c r="P61" s="17"/>
      <c r="Q61" s="17"/>
      <c r="R61" s="17"/>
      <c r="S61" s="17"/>
      <c r="T61" s="17"/>
      <c r="U61" s="17"/>
    </row>
    <row r="62" spans="2:21" x14ac:dyDescent="0.3">
      <c r="C62" t="s">
        <v>25</v>
      </c>
      <c r="E62" s="7" t="s">
        <v>14</v>
      </c>
      <c r="G62" s="24">
        <v>334.4735</v>
      </c>
      <c r="H62" s="24">
        <v>264.94880000000001</v>
      </c>
      <c r="I62" s="24">
        <v>204.0223</v>
      </c>
      <c r="J62" s="24">
        <v>234.16479999999999</v>
      </c>
      <c r="K62" s="9">
        <v>240.43520000000001</v>
      </c>
      <c r="P62" s="17"/>
      <c r="Q62" s="19"/>
      <c r="R62" s="17"/>
      <c r="S62" s="17"/>
      <c r="T62" s="17"/>
      <c r="U62" s="17"/>
    </row>
    <row r="63" spans="2:21" x14ac:dyDescent="0.3">
      <c r="C63" t="s">
        <v>26</v>
      </c>
      <c r="E63" s="7" t="s">
        <v>14</v>
      </c>
      <c r="G63" s="24">
        <v>246.84709999999998</v>
      </c>
      <c r="H63" s="24">
        <v>241.90020000000001</v>
      </c>
      <c r="I63" s="24">
        <v>219.79049999999998</v>
      </c>
      <c r="J63" s="24">
        <v>212.9939</v>
      </c>
      <c r="K63" s="9">
        <v>219.62979999999999</v>
      </c>
      <c r="P63" s="17"/>
      <c r="Q63" s="17"/>
      <c r="R63" s="17"/>
      <c r="S63" s="17"/>
      <c r="T63" s="17"/>
      <c r="U63" s="17"/>
    </row>
    <row r="64" spans="2:21" x14ac:dyDescent="0.3">
      <c r="C64" t="s">
        <v>29</v>
      </c>
      <c r="E64" s="7" t="s">
        <v>14</v>
      </c>
      <c r="G64" s="24">
        <v>3220.81</v>
      </c>
      <c r="H64" s="24">
        <v>2521.3526000000002</v>
      </c>
      <c r="I64" s="24">
        <v>3163.0447999999997</v>
      </c>
      <c r="J64" s="24">
        <v>4260.1179000000002</v>
      </c>
      <c r="K64" s="9">
        <v>3533.5345000000002</v>
      </c>
      <c r="P64" s="17"/>
      <c r="Q64" s="17"/>
      <c r="R64" s="17"/>
      <c r="S64" s="17"/>
      <c r="T64" s="17"/>
      <c r="U64" s="17"/>
    </row>
    <row r="65" spans="1:21" s="2" customFormat="1" x14ac:dyDescent="0.3">
      <c r="B65" s="2" t="s">
        <v>30</v>
      </c>
      <c r="E65" s="6" t="s">
        <v>14</v>
      </c>
      <c r="F65" s="14"/>
      <c r="G65" s="25">
        <v>5053.6449000000002</v>
      </c>
      <c r="H65" s="25">
        <v>4137.4090999999999</v>
      </c>
      <c r="I65" s="25">
        <v>4675.8022000000001</v>
      </c>
      <c r="J65" s="25">
        <v>6002.4381999999996</v>
      </c>
      <c r="K65" s="11">
        <v>5293.5142000000005</v>
      </c>
      <c r="P65" s="18"/>
      <c r="Q65" s="18"/>
      <c r="R65" s="18"/>
      <c r="S65" s="18"/>
      <c r="T65" s="18"/>
      <c r="U65" s="18"/>
    </row>
    <row r="66" spans="1:21" x14ac:dyDescent="0.3">
      <c r="B66" t="s">
        <v>31</v>
      </c>
      <c r="E66" s="7" t="s">
        <v>14</v>
      </c>
      <c r="G66" s="9">
        <v>31.630399999999998</v>
      </c>
      <c r="H66" s="9">
        <v>322.70650000000001</v>
      </c>
      <c r="I66" s="9">
        <v>54.028999999999996</v>
      </c>
      <c r="J66" s="9">
        <v>587.35969999999998</v>
      </c>
      <c r="K66" s="9">
        <v>296.7577</v>
      </c>
      <c r="P66" s="17"/>
      <c r="Q66" s="17"/>
      <c r="R66" s="17"/>
      <c r="S66" s="17"/>
      <c r="T66" s="17"/>
      <c r="U66" s="17"/>
    </row>
    <row r="67" spans="1:21" x14ac:dyDescent="0.3">
      <c r="C67" t="s">
        <v>32</v>
      </c>
      <c r="E67" s="7" t="s">
        <v>14</v>
      </c>
      <c r="G67" s="9">
        <v>-100.04090000000001</v>
      </c>
      <c r="H67" s="9">
        <v>0</v>
      </c>
      <c r="I67" s="9">
        <v>0</v>
      </c>
      <c r="J67" s="9">
        <v>180.45</v>
      </c>
      <c r="K67" s="9">
        <v>42.091899999999995</v>
      </c>
      <c r="P67" s="17"/>
      <c r="Q67" s="17"/>
      <c r="R67" s="17"/>
      <c r="S67" s="17"/>
      <c r="T67" s="17"/>
      <c r="U67" s="17"/>
    </row>
    <row r="68" spans="1:21" x14ac:dyDescent="0.3">
      <c r="B68" t="s">
        <v>33</v>
      </c>
      <c r="E68" s="7" t="s">
        <v>14</v>
      </c>
      <c r="G68" s="9">
        <v>-68.410499999999999</v>
      </c>
      <c r="H68" s="9">
        <v>322.70650000000001</v>
      </c>
      <c r="I68" s="9">
        <v>54.028999999999996</v>
      </c>
      <c r="J68" s="9">
        <v>406.90949999999998</v>
      </c>
      <c r="K68" s="9">
        <v>254.66580000000002</v>
      </c>
      <c r="P68" s="18"/>
      <c r="Q68" s="17"/>
      <c r="R68" s="17"/>
      <c r="S68" s="17"/>
      <c r="T68" s="17"/>
      <c r="U68" s="17"/>
    </row>
    <row r="69" spans="1:21" x14ac:dyDescent="0.3">
      <c r="C69" t="s">
        <v>34</v>
      </c>
      <c r="E69" s="7" t="s">
        <v>14</v>
      </c>
      <c r="F69" s="20"/>
      <c r="G69" s="21">
        <v>-32.8996</v>
      </c>
      <c r="H69" s="21">
        <v>100.66680000000001</v>
      </c>
      <c r="I69" s="21">
        <v>15.045499999999999</v>
      </c>
      <c r="J69" s="21">
        <v>-218.35759999999999</v>
      </c>
      <c r="K69" s="21">
        <v>-52.149899999999995</v>
      </c>
      <c r="P69" s="17"/>
      <c r="Q69" s="17"/>
      <c r="R69" s="17"/>
      <c r="S69" s="17"/>
      <c r="T69" s="17"/>
      <c r="U69" s="17"/>
    </row>
    <row r="70" spans="1:21" s="2" customFormat="1" x14ac:dyDescent="0.3">
      <c r="B70" s="2" t="s">
        <v>42</v>
      </c>
      <c r="E70" s="6" t="s">
        <v>14</v>
      </c>
      <c r="F70" s="14"/>
      <c r="G70" s="11">
        <v>-35.511200000000002</v>
      </c>
      <c r="H70" s="11">
        <v>222.03970000000001</v>
      </c>
      <c r="I70" s="11">
        <v>38.983499999999999</v>
      </c>
      <c r="J70" s="11">
        <v>-188.22409999999999</v>
      </c>
      <c r="K70" s="11">
        <v>-199.86009999999999</v>
      </c>
      <c r="P70" s="18"/>
      <c r="Q70" s="18"/>
      <c r="R70" s="18"/>
      <c r="S70" s="18"/>
      <c r="T70" s="18"/>
      <c r="U70" s="18"/>
    </row>
    <row r="71" spans="1:21" x14ac:dyDescent="0.3">
      <c r="G71" s="9"/>
      <c r="H71" s="9"/>
      <c r="I71" s="9"/>
      <c r="J71" s="9"/>
      <c r="K71" s="9"/>
      <c r="P71" s="18"/>
      <c r="Q71" s="17"/>
      <c r="R71" s="17"/>
      <c r="S71" s="17"/>
      <c r="T71" s="17"/>
      <c r="U71" s="17"/>
    </row>
    <row r="72" spans="1:21" x14ac:dyDescent="0.3">
      <c r="B72" s="2" t="s">
        <v>36</v>
      </c>
      <c r="P72" s="17"/>
      <c r="Q72" s="17"/>
      <c r="R72" s="17"/>
      <c r="S72" s="17"/>
      <c r="T72" s="17"/>
      <c r="U72" s="17"/>
    </row>
    <row r="73" spans="1:21" x14ac:dyDescent="0.3">
      <c r="C73" t="s">
        <v>37</v>
      </c>
      <c r="E73" s="7" t="s">
        <v>14</v>
      </c>
      <c r="F73" s="15">
        <f>1356.07/10^2</f>
        <v>13.560699999999999</v>
      </c>
      <c r="P73" s="17"/>
      <c r="Q73" s="17"/>
      <c r="R73" s="17"/>
      <c r="S73" s="17"/>
      <c r="T73" s="17"/>
      <c r="U73" s="17"/>
    </row>
    <row r="74" spans="1:21" x14ac:dyDescent="0.3">
      <c r="C74" t="s">
        <v>38</v>
      </c>
      <c r="E74" s="7" t="s">
        <v>14</v>
      </c>
      <c r="F74" s="15">
        <f>SUM(F75:F76)</f>
        <v>3898.0060999999996</v>
      </c>
      <c r="P74" s="18"/>
      <c r="Q74" s="17"/>
      <c r="R74" s="17"/>
      <c r="S74" s="17"/>
      <c r="T74" s="17"/>
      <c r="U74" s="17"/>
    </row>
    <row r="75" spans="1:21" x14ac:dyDescent="0.3">
      <c r="D75" t="s">
        <v>129</v>
      </c>
      <c r="E75" s="7" t="s">
        <v>14</v>
      </c>
      <c r="F75" s="15">
        <v>1420.41</v>
      </c>
      <c r="P75" s="18"/>
      <c r="Q75" s="17"/>
      <c r="R75" s="17"/>
      <c r="S75" s="17"/>
      <c r="T75" s="17"/>
      <c r="U75" s="17"/>
    </row>
    <row r="76" spans="1:21" x14ac:dyDescent="0.3">
      <c r="D76" t="s">
        <v>130</v>
      </c>
      <c r="E76" s="7" t="s">
        <v>14</v>
      </c>
      <c r="F76" s="15">
        <f xml:space="preserve"> 247759.61/10^2</f>
        <v>2477.5960999999998</v>
      </c>
      <c r="P76" s="18"/>
      <c r="Q76" s="17"/>
      <c r="R76" s="17"/>
      <c r="S76" s="17"/>
      <c r="T76" s="17"/>
      <c r="U76" s="17"/>
    </row>
    <row r="77" spans="1:21" x14ac:dyDescent="0.3">
      <c r="C77" t="s">
        <v>131</v>
      </c>
      <c r="E77" s="7" t="s">
        <v>14</v>
      </c>
      <c r="F77" s="15">
        <f>539900.39/10^2</f>
        <v>5399.0038999999997</v>
      </c>
      <c r="P77" s="18"/>
      <c r="Q77" s="17"/>
      <c r="R77" s="17"/>
      <c r="S77" s="17"/>
      <c r="T77" s="17"/>
      <c r="U77" s="17"/>
    </row>
    <row r="78" spans="1:21" x14ac:dyDescent="0.3">
      <c r="P78" s="18"/>
      <c r="Q78" s="17"/>
      <c r="R78" s="17"/>
      <c r="S78" s="17"/>
      <c r="T78" s="17"/>
      <c r="U78" s="17"/>
    </row>
    <row r="79" spans="1:21" s="2" customFormat="1" x14ac:dyDescent="0.3">
      <c r="A79" s="2" t="s">
        <v>43</v>
      </c>
      <c r="E79" s="6"/>
      <c r="F79" s="14"/>
      <c r="P79" s="18"/>
      <c r="Q79" s="18"/>
      <c r="R79" s="18"/>
      <c r="S79" s="18"/>
      <c r="T79" s="18"/>
      <c r="U79" s="18"/>
    </row>
    <row r="80" spans="1:21" x14ac:dyDescent="0.3">
      <c r="B80" t="s">
        <v>44</v>
      </c>
      <c r="E80" s="7" t="s">
        <v>45</v>
      </c>
      <c r="F80" s="92">
        <v>0.6</v>
      </c>
      <c r="P80" s="18"/>
      <c r="Q80" s="17"/>
      <c r="R80" s="17"/>
      <c r="S80" s="17"/>
      <c r="T80" s="17"/>
      <c r="U80" s="17"/>
    </row>
    <row r="81" spans="1:11" x14ac:dyDescent="0.3">
      <c r="B81" t="s">
        <v>46</v>
      </c>
      <c r="E81" s="7" t="s">
        <v>45</v>
      </c>
      <c r="F81" s="15">
        <v>10</v>
      </c>
    </row>
    <row r="82" spans="1:11" x14ac:dyDescent="0.3">
      <c r="B82" s="2" t="s">
        <v>47</v>
      </c>
    </row>
    <row r="83" spans="1:11" x14ac:dyDescent="0.3">
      <c r="C83" t="s">
        <v>48</v>
      </c>
      <c r="E83" s="7" t="s">
        <v>45</v>
      </c>
      <c r="F83" s="26">
        <v>1.4999999999999999E-2</v>
      </c>
    </row>
    <row r="84" spans="1:11" x14ac:dyDescent="0.3">
      <c r="C84" t="s">
        <v>49</v>
      </c>
      <c r="E84" s="7" t="s">
        <v>45</v>
      </c>
      <c r="F84" s="26">
        <v>0.02</v>
      </c>
    </row>
    <row r="85" spans="1:11" x14ac:dyDescent="0.3">
      <c r="C85" t="s">
        <v>50</v>
      </c>
      <c r="E85" s="7" t="s">
        <v>45</v>
      </c>
      <c r="F85" s="26">
        <v>5.0000000000000001E-3</v>
      </c>
    </row>
    <row r="86" spans="1:11" x14ac:dyDescent="0.3">
      <c r="B86" t="s">
        <v>147</v>
      </c>
      <c r="E86" s="7" t="s">
        <v>45</v>
      </c>
      <c r="F86" s="28">
        <v>7.2499999999999995E-2</v>
      </c>
    </row>
    <row r="87" spans="1:11" x14ac:dyDescent="0.3">
      <c r="B87" t="s">
        <v>51</v>
      </c>
      <c r="E87" s="7" t="s">
        <v>52</v>
      </c>
      <c r="F87" s="29">
        <v>5</v>
      </c>
    </row>
    <row r="88" spans="1:11" x14ac:dyDescent="0.3">
      <c r="B88" t="s">
        <v>53</v>
      </c>
      <c r="E88" s="7" t="s">
        <v>45</v>
      </c>
      <c r="F88" s="26">
        <f>TV!B17</f>
        <v>6.189999999999999E-2</v>
      </c>
    </row>
    <row r="89" spans="1:11" x14ac:dyDescent="0.3">
      <c r="B89" t="s">
        <v>54</v>
      </c>
      <c r="E89" s="7" t="s">
        <v>45</v>
      </c>
      <c r="F89" s="26">
        <f>Rm!J7</f>
        <v>0.17967966308012445</v>
      </c>
    </row>
    <row r="90" spans="1:11" x14ac:dyDescent="0.3">
      <c r="B90" t="s">
        <v>55</v>
      </c>
      <c r="E90" s="7" t="s">
        <v>45</v>
      </c>
      <c r="F90" s="26">
        <v>6.6000000000000003E-2</v>
      </c>
    </row>
    <row r="91" spans="1:11" x14ac:dyDescent="0.3">
      <c r="B91" t="s">
        <v>56</v>
      </c>
      <c r="F91" s="42">
        <v>1</v>
      </c>
    </row>
    <row r="93" spans="1:11" x14ac:dyDescent="0.3">
      <c r="A93" s="2" t="s">
        <v>150</v>
      </c>
      <c r="G93" s="6" t="s">
        <v>153</v>
      </c>
      <c r="H93" s="6" t="s">
        <v>154</v>
      </c>
      <c r="I93" s="6" t="s">
        <v>155</v>
      </c>
      <c r="J93" s="6" t="s">
        <v>156</v>
      </c>
      <c r="K93" s="6" t="s">
        <v>157</v>
      </c>
    </row>
    <row r="94" spans="1:11" x14ac:dyDescent="0.3">
      <c r="B94" t="s">
        <v>151</v>
      </c>
      <c r="G94" s="135">
        <v>0.03</v>
      </c>
      <c r="H94" s="135">
        <v>0.05</v>
      </c>
      <c r="I94" s="135">
        <v>7.0000000000000007E-2</v>
      </c>
      <c r="J94" s="135">
        <v>0.09</v>
      </c>
      <c r="K94" s="135">
        <v>0.11</v>
      </c>
    </row>
    <row r="95" spans="1:11" x14ac:dyDescent="0.3">
      <c r="B95" t="s">
        <v>72</v>
      </c>
      <c r="G95" s="135">
        <v>1.4999999999999999E-2</v>
      </c>
      <c r="H95" s="135">
        <v>0.03</v>
      </c>
      <c r="I95" s="135">
        <v>0.05</v>
      </c>
      <c r="J95" s="135">
        <v>0.06</v>
      </c>
      <c r="K95" s="135">
        <v>7.4999999999999997E-2</v>
      </c>
    </row>
    <row r="96" spans="1:11" x14ac:dyDescent="0.3">
      <c r="B96" t="s">
        <v>152</v>
      </c>
      <c r="G96" s="135"/>
      <c r="H96" s="135"/>
      <c r="I96" s="135"/>
      <c r="J96" s="135"/>
      <c r="K96" s="135"/>
    </row>
    <row r="97" spans="3:11" x14ac:dyDescent="0.3">
      <c r="C97" t="s">
        <v>138</v>
      </c>
      <c r="G97" s="135">
        <v>1.4999999999999999E-2</v>
      </c>
      <c r="H97" s="135">
        <v>2.5000000000000001E-2</v>
      </c>
      <c r="I97" s="135">
        <v>3.5000000000000003E-2</v>
      </c>
      <c r="J97" s="135">
        <v>4.4999999999999998E-2</v>
      </c>
      <c r="K97" s="135">
        <v>5.5E-2</v>
      </c>
    </row>
    <row r="98" spans="3:11" x14ac:dyDescent="0.3">
      <c r="C98" t="s">
        <v>137</v>
      </c>
      <c r="G98" s="135">
        <v>2.5000000000000001E-2</v>
      </c>
      <c r="H98" s="135">
        <f>G98+2.5%</f>
        <v>0.05</v>
      </c>
      <c r="I98" s="135">
        <f t="shared" ref="I98:K98" si="0">H98+2.5%</f>
        <v>7.5000000000000011E-2</v>
      </c>
      <c r="J98" s="135">
        <f t="shared" si="0"/>
        <v>0.1</v>
      </c>
      <c r="K98" s="135">
        <f t="shared" si="0"/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A1FE-C1E8-4E04-936A-2CC733A37A47}">
  <dimension ref="A1:R65"/>
  <sheetViews>
    <sheetView showGridLines="0" zoomScaleNormal="100" workbookViewId="0">
      <pane xSplit="5" ySplit="3" topLeftCell="F21" activePane="bottomRight" state="frozen"/>
      <selection pane="topRight" activeCell="F1" sqref="F1"/>
      <selection pane="bottomLeft" activeCell="A4" sqref="A4"/>
      <selection pane="bottomRight" activeCell="Q10" sqref="Q10"/>
    </sheetView>
  </sheetViews>
  <sheetFormatPr defaultRowHeight="14.4" x14ac:dyDescent="0.3"/>
  <cols>
    <col min="1" max="1" width="3" style="6" customWidth="1"/>
    <col min="2" max="3" width="3" customWidth="1"/>
    <col min="4" max="4" width="36.33203125" customWidth="1"/>
    <col min="5" max="5" width="6.88671875" style="75" bestFit="1" customWidth="1"/>
    <col min="6" max="15" width="12.6640625" customWidth="1"/>
    <col min="18" max="18" width="11.33203125" bestFit="1" customWidth="1"/>
  </cols>
  <sheetData>
    <row r="1" spans="1:15" s="43" customFormat="1" x14ac:dyDescent="0.3">
      <c r="A1" s="44"/>
      <c r="B1" s="146" t="s">
        <v>57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3">
      <c r="A2" s="44"/>
      <c r="B2" s="1"/>
      <c r="C2" s="1"/>
      <c r="D2" s="1"/>
      <c r="E2" s="76"/>
      <c r="F2" s="45">
        <v>1</v>
      </c>
      <c r="G2" s="45">
        <v>2</v>
      </c>
      <c r="H2" s="45">
        <v>3</v>
      </c>
      <c r="I2" s="45">
        <v>4</v>
      </c>
      <c r="J2" s="45">
        <v>5</v>
      </c>
      <c r="K2" s="59">
        <v>6</v>
      </c>
      <c r="L2" s="59">
        <v>7</v>
      </c>
      <c r="M2" s="59">
        <v>8</v>
      </c>
      <c r="N2" s="59">
        <v>9</v>
      </c>
      <c r="O2" s="59">
        <v>10</v>
      </c>
    </row>
    <row r="3" spans="1:15" x14ac:dyDescent="0.3">
      <c r="A3" s="44"/>
      <c r="B3" s="1"/>
      <c r="C3" s="1"/>
      <c r="D3" s="1"/>
      <c r="E3" s="78" t="s">
        <v>1</v>
      </c>
      <c r="F3" s="45" t="s">
        <v>58</v>
      </c>
      <c r="G3" s="45" t="s">
        <v>59</v>
      </c>
      <c r="H3" s="45" t="s">
        <v>60</v>
      </c>
      <c r="I3" s="45" t="s">
        <v>61</v>
      </c>
      <c r="J3" s="45" t="s">
        <v>62</v>
      </c>
      <c r="K3" s="59" t="s">
        <v>63</v>
      </c>
      <c r="L3" s="59" t="s">
        <v>64</v>
      </c>
      <c r="M3" s="59" t="s">
        <v>65</v>
      </c>
      <c r="N3" s="59" t="s">
        <v>66</v>
      </c>
      <c r="O3" s="59" t="s">
        <v>67</v>
      </c>
    </row>
    <row r="5" spans="1:15" s="49" customFormat="1" ht="15.6" x14ac:dyDescent="0.3">
      <c r="A5" s="47" t="s">
        <v>68</v>
      </c>
      <c r="B5" s="48" t="s">
        <v>69</v>
      </c>
      <c r="C5" s="48"/>
      <c r="D5" s="48"/>
      <c r="E5" s="77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1:15" x14ac:dyDescent="0.3">
      <c r="B6" t="s">
        <v>70</v>
      </c>
      <c r="E6" s="7"/>
    </row>
    <row r="7" spans="1:15" x14ac:dyDescent="0.3">
      <c r="C7" t="s">
        <v>13</v>
      </c>
      <c r="E7" s="7" t="s">
        <v>14</v>
      </c>
      <c r="F7" s="46">
        <f>'Data Sheet'!G13</f>
        <v>36602.92</v>
      </c>
      <c r="G7" s="46">
        <f>'Data Sheet'!H13</f>
        <v>39687.769999999997</v>
      </c>
      <c r="H7" s="46">
        <f>'Data Sheet'!I13</f>
        <v>46079.75</v>
      </c>
      <c r="I7" s="46">
        <f>'Data Sheet'!J13</f>
        <v>55582.89</v>
      </c>
      <c r="J7" s="46">
        <f>'Data Sheet'!K13</f>
        <v>65432.67</v>
      </c>
      <c r="K7" s="60">
        <f>J7*(1+K$12)</f>
        <v>74679.62843218699</v>
      </c>
      <c r="L7" s="60">
        <f t="shared" ref="L7:O7" si="0">K7*(1+L$12)</f>
        <v>85233.368938933898</v>
      </c>
      <c r="M7" s="60">
        <f t="shared" si="0"/>
        <v>97278.56623278695</v>
      </c>
      <c r="N7" s="60">
        <f t="shared" si="0"/>
        <v>111025.9932947933</v>
      </c>
      <c r="O7" s="60">
        <f t="shared" si="0"/>
        <v>126716.2095871932</v>
      </c>
    </row>
    <row r="8" spans="1:15" x14ac:dyDescent="0.3">
      <c r="C8" t="s">
        <v>15</v>
      </c>
      <c r="E8" s="7" t="s">
        <v>14</v>
      </c>
      <c r="F8" s="46">
        <f>'Data Sheet'!G14</f>
        <v>3430.09</v>
      </c>
      <c r="G8" s="46">
        <f>'Data Sheet'!H14</f>
        <v>2988.9</v>
      </c>
      <c r="H8" s="46">
        <f>'Data Sheet'!I14</f>
        <v>3648.25</v>
      </c>
      <c r="I8" s="46">
        <f>'Data Sheet'!J14</f>
        <v>4878.67</v>
      </c>
      <c r="J8" s="46">
        <f>'Data Sheet'!K14</f>
        <v>2098.77</v>
      </c>
      <c r="K8" s="60">
        <f t="shared" ref="K8:O10" si="1">J8*(1+K$12)</f>
        <v>2395.3686096657998</v>
      </c>
      <c r="L8" s="60">
        <f t="shared" si="1"/>
        <v>2733.8825960787831</v>
      </c>
      <c r="M8" s="60">
        <f t="shared" si="1"/>
        <v>3120.2354489337863</v>
      </c>
      <c r="N8" s="60">
        <f t="shared" si="1"/>
        <v>3561.1877667121539</v>
      </c>
      <c r="O8" s="60">
        <f t="shared" si="1"/>
        <v>4064.4555570682578</v>
      </c>
    </row>
    <row r="9" spans="1:15" x14ac:dyDescent="0.3">
      <c r="C9" t="s">
        <v>16</v>
      </c>
      <c r="E9" s="7" t="s">
        <v>14</v>
      </c>
      <c r="F9" s="46">
        <f>'Data Sheet'!G15</f>
        <v>0.24</v>
      </c>
      <c r="G9" s="46">
        <f>'Data Sheet'!H15</f>
        <v>0.33</v>
      </c>
      <c r="H9" s="46">
        <f>'Data Sheet'!I15</f>
        <v>1.38</v>
      </c>
      <c r="I9" s="46">
        <f>'Data Sheet'!J15</f>
        <v>1.04</v>
      </c>
      <c r="J9" s="46">
        <f>'Data Sheet'!K15</f>
        <v>4.29</v>
      </c>
      <c r="K9" s="60">
        <f t="shared" si="1"/>
        <v>4.8962636856188535</v>
      </c>
      <c r="L9" s="60">
        <f t="shared" si="1"/>
        <v>5.5882046804452035</v>
      </c>
      <c r="M9" s="60">
        <f t="shared" si="1"/>
        <v>6.3779309195033012</v>
      </c>
      <c r="N9" s="60">
        <f t="shared" si="1"/>
        <v>7.2792614336945638</v>
      </c>
      <c r="O9" s="60">
        <f t="shared" si="1"/>
        <v>8.3079681622201704</v>
      </c>
    </row>
    <row r="10" spans="1:15" x14ac:dyDescent="0.3">
      <c r="C10" t="s">
        <v>17</v>
      </c>
      <c r="E10" s="7" t="s">
        <v>14</v>
      </c>
      <c r="F10" s="46">
        <f>'Data Sheet'!G16</f>
        <v>615.91999999999996</v>
      </c>
      <c r="G10" s="46">
        <f>'Data Sheet'!H16</f>
        <v>511.34</v>
      </c>
      <c r="H10" s="46">
        <f>'Data Sheet'!I16</f>
        <v>934.11</v>
      </c>
      <c r="I10" s="46">
        <f>'Data Sheet'!J16</f>
        <v>863.9</v>
      </c>
      <c r="J10" s="46">
        <f>'Data Sheet'!K16</f>
        <v>1104.9000000000001</v>
      </c>
      <c r="K10" s="60">
        <f t="shared" si="1"/>
        <v>1261.0446960933036</v>
      </c>
      <c r="L10" s="60">
        <f t="shared" si="1"/>
        <v>1439.2557928727053</v>
      </c>
      <c r="M10" s="60">
        <f t="shared" si="1"/>
        <v>1642.6517186385076</v>
      </c>
      <c r="N10" s="60">
        <f t="shared" si="1"/>
        <v>1874.7915986221735</v>
      </c>
      <c r="O10" s="60">
        <f t="shared" si="1"/>
        <v>2139.7375343676144</v>
      </c>
    </row>
    <row r="11" spans="1:15" s="2" customFormat="1" x14ac:dyDescent="0.3">
      <c r="A11" s="6"/>
      <c r="B11" s="2" t="s">
        <v>18</v>
      </c>
      <c r="E11" s="6" t="s">
        <v>14</v>
      </c>
      <c r="F11" s="50">
        <f>SUM(F7:F10)</f>
        <v>40649.169999999991</v>
      </c>
      <c r="G11" s="50">
        <f t="shared" ref="G11:J11" si="2">SUM(G7:G10)</f>
        <v>43188.34</v>
      </c>
      <c r="H11" s="50">
        <f t="shared" si="2"/>
        <v>50663.49</v>
      </c>
      <c r="I11" s="50">
        <f t="shared" si="2"/>
        <v>61326.5</v>
      </c>
      <c r="J11" s="50">
        <f t="shared" si="2"/>
        <v>68640.62999999999</v>
      </c>
      <c r="K11" s="61">
        <f>SUM(K7:K10)</f>
        <v>78340.938001631715</v>
      </c>
      <c r="L11" s="61">
        <f t="shared" ref="L11:O11" si="3">SUM(L7:L10)</f>
        <v>89412.095532565829</v>
      </c>
      <c r="M11" s="61">
        <f t="shared" si="3"/>
        <v>102047.83133127875</v>
      </c>
      <c r="N11" s="61">
        <f t="shared" si="3"/>
        <v>116469.25192156133</v>
      </c>
      <c r="O11" s="61">
        <f t="shared" si="3"/>
        <v>132928.7106467913</v>
      </c>
    </row>
    <row r="12" spans="1:15" s="55" customFormat="1" x14ac:dyDescent="0.3">
      <c r="D12" s="55" t="s">
        <v>71</v>
      </c>
      <c r="E12" s="79" t="s">
        <v>45</v>
      </c>
      <c r="F12" s="56"/>
      <c r="G12" s="56">
        <f>G11/F11-1</f>
        <v>6.2465482075033885E-2</v>
      </c>
      <c r="H12" s="56">
        <f t="shared" ref="H12:J12" si="4">H11/G11-1</f>
        <v>0.17308259590435759</v>
      </c>
      <c r="I12" s="56">
        <f t="shared" si="4"/>
        <v>0.21046734048522908</v>
      </c>
      <c r="J12" s="56">
        <f t="shared" si="4"/>
        <v>0.11926540728722479</v>
      </c>
      <c r="K12" s="62">
        <f>AVERAGE($F$12:$J$12)</f>
        <v>0.14132020643796134</v>
      </c>
      <c r="L12" s="62">
        <f t="shared" ref="L12:O12" si="5">AVERAGE($F$12:$J$12)</f>
        <v>0.14132020643796134</v>
      </c>
      <c r="M12" s="62">
        <f t="shared" si="5"/>
        <v>0.14132020643796134</v>
      </c>
      <c r="N12" s="62">
        <f t="shared" si="5"/>
        <v>0.14132020643796134</v>
      </c>
      <c r="O12" s="62">
        <f t="shared" si="5"/>
        <v>0.14132020643796134</v>
      </c>
    </row>
    <row r="13" spans="1:15" x14ac:dyDescent="0.3">
      <c r="B13" t="s">
        <v>72</v>
      </c>
      <c r="E13" s="7" t="s">
        <v>14</v>
      </c>
      <c r="F13" s="46">
        <f>SUM('Data Sheet'!G20:G22,'Data Sheet'!G26:G27)</f>
        <v>24181.590000000004</v>
      </c>
      <c r="G13" s="46">
        <f>SUM('Data Sheet'!H20:H22,'Data Sheet'!H26:H27)</f>
        <v>25029.659999999996</v>
      </c>
      <c r="H13" s="46">
        <f>SUM('Data Sheet'!I20:I22,'Data Sheet'!I26:I27)</f>
        <v>31079.18</v>
      </c>
      <c r="I13" s="46">
        <f>SUM('Data Sheet'!J20:J22,'Data Sheet'!J26:J27)</f>
        <v>41608.569999999992</v>
      </c>
      <c r="J13" s="46">
        <f>SUM('Data Sheet'!K20:K22,'Data Sheet'!K26:K27)</f>
        <v>44505.189999999995</v>
      </c>
      <c r="K13" s="63">
        <f>K11*K14</f>
        <v>48802.191414516259</v>
      </c>
      <c r="L13" s="63">
        <f t="shared" ref="L13:O13" si="6">L11*L14</f>
        <v>55698.927179840597</v>
      </c>
      <c r="M13" s="63">
        <f t="shared" si="6"/>
        <v>63570.311067268638</v>
      </c>
      <c r="N13" s="63">
        <f t="shared" si="6"/>
        <v>72554.080550620463</v>
      </c>
      <c r="O13" s="63">
        <f t="shared" si="6"/>
        <v>82807.438191950627</v>
      </c>
    </row>
    <row r="14" spans="1:15" s="55" customFormat="1" x14ac:dyDescent="0.3">
      <c r="D14" s="55" t="s">
        <v>73</v>
      </c>
      <c r="E14" s="79" t="s">
        <v>45</v>
      </c>
      <c r="F14" s="56">
        <f>F13/F$11</f>
        <v>0.59488520921829424</v>
      </c>
      <c r="G14" s="56">
        <f t="shared" ref="G14:J14" si="7">G13/G$11</f>
        <v>0.57954670172551204</v>
      </c>
      <c r="H14" s="56">
        <f t="shared" si="7"/>
        <v>0.61344332970350057</v>
      </c>
      <c r="I14" s="56">
        <f t="shared" si="7"/>
        <v>0.67847618892322226</v>
      </c>
      <c r="J14" s="56">
        <f t="shared" si="7"/>
        <v>0.64837968416082425</v>
      </c>
      <c r="K14" s="62">
        <f>AVERAGE($F$14:$J$14)</f>
        <v>0.62294622274627076</v>
      </c>
      <c r="L14" s="62">
        <f t="shared" ref="L14:O14" si="8">AVERAGE($F$14:$J$14)</f>
        <v>0.62294622274627076</v>
      </c>
      <c r="M14" s="62">
        <f t="shared" si="8"/>
        <v>0.62294622274627076</v>
      </c>
      <c r="N14" s="62">
        <f t="shared" si="8"/>
        <v>0.62294622274627076</v>
      </c>
      <c r="O14" s="62">
        <f t="shared" si="8"/>
        <v>0.62294622274627076</v>
      </c>
    </row>
    <row r="15" spans="1:15" s="2" customFormat="1" x14ac:dyDescent="0.3">
      <c r="A15" s="6"/>
      <c r="B15" s="51" t="s">
        <v>164</v>
      </c>
      <c r="C15" s="51"/>
      <c r="D15" s="51"/>
      <c r="E15" s="80" t="s">
        <v>14</v>
      </c>
      <c r="F15" s="52">
        <f>F11-F13</f>
        <v>16467.579999999987</v>
      </c>
      <c r="G15" s="52">
        <f t="shared" ref="G15:O15" si="9">G11-G13</f>
        <v>18158.68</v>
      </c>
      <c r="H15" s="52">
        <f t="shared" si="9"/>
        <v>19584.309999999998</v>
      </c>
      <c r="I15" s="52">
        <f t="shared" si="9"/>
        <v>19717.930000000008</v>
      </c>
      <c r="J15" s="52">
        <f t="shared" si="9"/>
        <v>24135.439999999995</v>
      </c>
      <c r="K15" s="64">
        <f t="shared" si="9"/>
        <v>29538.746587115456</v>
      </c>
      <c r="L15" s="64">
        <f t="shared" si="9"/>
        <v>33713.168352725232</v>
      </c>
      <c r="M15" s="64">
        <f t="shared" si="9"/>
        <v>38477.520264010112</v>
      </c>
      <c r="N15" s="64">
        <f t="shared" si="9"/>
        <v>43915.171370940865</v>
      </c>
      <c r="O15" s="64">
        <f t="shared" si="9"/>
        <v>50121.27245484067</v>
      </c>
    </row>
    <row r="16" spans="1:15" s="55" customFormat="1" x14ac:dyDescent="0.3">
      <c r="D16" s="55" t="s">
        <v>74</v>
      </c>
      <c r="E16" s="79" t="s">
        <v>45</v>
      </c>
      <c r="F16" s="56">
        <f>F15/F$11</f>
        <v>0.40511479078170576</v>
      </c>
      <c r="G16" s="56">
        <f t="shared" ref="G16:I16" si="10">G15/G$11</f>
        <v>0.42045329827448802</v>
      </c>
      <c r="H16" s="56">
        <f t="shared" si="10"/>
        <v>0.38655667029649948</v>
      </c>
      <c r="I16" s="56">
        <f t="shared" si="10"/>
        <v>0.32152381107677769</v>
      </c>
      <c r="J16" s="56">
        <f>J15/J$11</f>
        <v>0.35162031583917569</v>
      </c>
      <c r="K16" s="62">
        <f>K15/K$11</f>
        <v>0.37705377725372924</v>
      </c>
      <c r="L16" s="62">
        <f t="shared" ref="L16:O16" si="11">L15/L$11</f>
        <v>0.37705377725372918</v>
      </c>
      <c r="M16" s="62">
        <f t="shared" si="11"/>
        <v>0.37705377725372924</v>
      </c>
      <c r="N16" s="62">
        <f t="shared" si="11"/>
        <v>0.37705377725372929</v>
      </c>
      <c r="O16" s="62">
        <f t="shared" si="11"/>
        <v>0.37705377725372924</v>
      </c>
    </row>
    <row r="17" spans="1:15" x14ac:dyDescent="0.3">
      <c r="B17" t="s">
        <v>75</v>
      </c>
      <c r="E17" s="7" t="s">
        <v>14</v>
      </c>
      <c r="F17" s="46">
        <f>SUM('Data Sheet'!G23,'Data Sheet'!G28)</f>
        <v>7815.28</v>
      </c>
      <c r="G17" s="46">
        <f>SUM('Data Sheet'!H23,'Data Sheet'!H28)</f>
        <v>7193.86</v>
      </c>
      <c r="H17" s="46">
        <f>SUM('Data Sheet'!I23,'Data Sheet'!I28)</f>
        <v>8647.89</v>
      </c>
      <c r="I17" s="46">
        <f>SUM('Data Sheet'!J23,'Data Sheet'!J28)</f>
        <v>9786.75</v>
      </c>
      <c r="J17" s="46">
        <f>SUM('Data Sheet'!K23,'Data Sheet'!K28)</f>
        <v>11515.380000000001</v>
      </c>
      <c r="K17" s="63">
        <f>K11*K$18</f>
        <v>13425.625750232924</v>
      </c>
      <c r="L17" s="63">
        <f>L11*L$18</f>
        <v>15322.937952814647</v>
      </c>
      <c r="M17" s="63">
        <f t="shared" ref="M17:O17" si="12">M11*M$18</f>
        <v>17488.378707542488</v>
      </c>
      <c r="N17" s="63">
        <f t="shared" si="12"/>
        <v>19959.839996757641</v>
      </c>
      <c r="O17" s="63">
        <f t="shared" si="12"/>
        <v>22780.568705568105</v>
      </c>
    </row>
    <row r="18" spans="1:15" s="55" customFormat="1" x14ac:dyDescent="0.3">
      <c r="D18" s="55" t="s">
        <v>73</v>
      </c>
      <c r="E18" s="79" t="s">
        <v>45</v>
      </c>
      <c r="F18" s="56">
        <f>F17/F$11</f>
        <v>0.19226173621749229</v>
      </c>
      <c r="G18" s="56">
        <f t="shared" ref="G18:J18" si="13">G17/G$11</f>
        <v>0.16656949537768759</v>
      </c>
      <c r="H18" s="56">
        <f t="shared" si="13"/>
        <v>0.17069274145938229</v>
      </c>
      <c r="I18" s="56">
        <f t="shared" si="13"/>
        <v>0.15958435586573505</v>
      </c>
      <c r="J18" s="56">
        <f t="shared" si="13"/>
        <v>0.16776332035414016</v>
      </c>
      <c r="K18" s="62">
        <f>AVERAGE($F$18:$J$18)</f>
        <v>0.17137432985488749</v>
      </c>
      <c r="L18" s="62">
        <f t="shared" ref="L18:O18" si="14">AVERAGE($F$18:$J$18)</f>
        <v>0.17137432985488749</v>
      </c>
      <c r="M18" s="62">
        <f t="shared" si="14"/>
        <v>0.17137432985488749</v>
      </c>
      <c r="N18" s="62">
        <f t="shared" si="14"/>
        <v>0.17137432985488749</v>
      </c>
      <c r="O18" s="62">
        <f t="shared" si="14"/>
        <v>0.17137432985488749</v>
      </c>
    </row>
    <row r="19" spans="1:15" s="2" customFormat="1" x14ac:dyDescent="0.3">
      <c r="A19" s="6"/>
      <c r="B19" s="51" t="s">
        <v>76</v>
      </c>
      <c r="C19" s="51"/>
      <c r="D19" s="51"/>
      <c r="E19" s="80" t="s">
        <v>14</v>
      </c>
      <c r="F19" s="52">
        <f>F15-F17</f>
        <v>8652.2999999999884</v>
      </c>
      <c r="G19" s="52">
        <f t="shared" ref="G19:J19" si="15">G15-G17</f>
        <v>10964.82</v>
      </c>
      <c r="H19" s="52">
        <f t="shared" si="15"/>
        <v>10936.419999999998</v>
      </c>
      <c r="I19" s="52">
        <f t="shared" si="15"/>
        <v>9931.1800000000076</v>
      </c>
      <c r="J19" s="52">
        <f t="shared" si="15"/>
        <v>12620.059999999994</v>
      </c>
      <c r="K19" s="65">
        <f>K15-K17</f>
        <v>16113.120836882532</v>
      </c>
      <c r="L19" s="65">
        <f t="shared" ref="L19:O19" si="16">L15-L17</f>
        <v>18390.230399910586</v>
      </c>
      <c r="M19" s="65">
        <f t="shared" si="16"/>
        <v>20989.141556467624</v>
      </c>
      <c r="N19" s="65">
        <f t="shared" si="16"/>
        <v>23955.331374183224</v>
      </c>
      <c r="O19" s="65">
        <f t="shared" si="16"/>
        <v>27340.703749272565</v>
      </c>
    </row>
    <row r="20" spans="1:15" s="55" customFormat="1" x14ac:dyDescent="0.3">
      <c r="D20" s="55" t="s">
        <v>77</v>
      </c>
      <c r="E20" s="79" t="s">
        <v>45</v>
      </c>
      <c r="F20" s="56">
        <f>F19/F$11</f>
        <v>0.2128530545642135</v>
      </c>
      <c r="G20" s="56">
        <f t="shared" ref="G20:J20" si="17">G19/G$11</f>
        <v>0.2538838028968004</v>
      </c>
      <c r="H20" s="56">
        <f t="shared" si="17"/>
        <v>0.21586392883711719</v>
      </c>
      <c r="I20" s="56">
        <f t="shared" si="17"/>
        <v>0.16193945521104267</v>
      </c>
      <c r="J20" s="56">
        <f t="shared" si="17"/>
        <v>0.18385699548503556</v>
      </c>
      <c r="K20" s="62">
        <f>K19/K$11</f>
        <v>0.20567944739884172</v>
      </c>
      <c r="L20" s="62">
        <f t="shared" ref="L20:O20" si="18">L19/L$11</f>
        <v>0.20567944739884175</v>
      </c>
      <c r="M20" s="62">
        <f t="shared" si="18"/>
        <v>0.20567944739884175</v>
      </c>
      <c r="N20" s="62">
        <f t="shared" si="18"/>
        <v>0.20567944739884178</v>
      </c>
      <c r="O20" s="62">
        <f t="shared" si="18"/>
        <v>0.20567944739884175</v>
      </c>
    </row>
    <row r="21" spans="1:15" x14ac:dyDescent="0.3">
      <c r="B21" t="s">
        <v>26</v>
      </c>
      <c r="E21" s="7" t="s">
        <v>14</v>
      </c>
      <c r="F21" s="46">
        <f>'Data Sheet'!G25</f>
        <v>2454.9</v>
      </c>
      <c r="G21" s="46">
        <f>'Data Sheet'!H25</f>
        <v>2434.35</v>
      </c>
      <c r="H21" s="46">
        <f>'Data Sheet'!I25</f>
        <v>2456.7600000000002</v>
      </c>
      <c r="I21" s="46">
        <f>'Data Sheet'!J25</f>
        <v>2619.2399999999998</v>
      </c>
      <c r="J21" s="46">
        <f>'Data Sheet'!K25</f>
        <v>3027.43</v>
      </c>
      <c r="K21" s="63">
        <f>K$11*K22</f>
        <v>3949.4060644535857</v>
      </c>
      <c r="L21" s="63">
        <f t="shared" ref="L21:O21" si="19">L$11*L22</f>
        <v>4507.5369447895027</v>
      </c>
      <c r="M21" s="63">
        <f t="shared" si="19"/>
        <v>5144.5429963538927</v>
      </c>
      <c r="N21" s="63">
        <f t="shared" si="19"/>
        <v>5871.5708746275932</v>
      </c>
      <c r="O21" s="63">
        <f t="shared" si="19"/>
        <v>6701.3424827450854</v>
      </c>
    </row>
    <row r="22" spans="1:15" s="55" customFormat="1" x14ac:dyDescent="0.3">
      <c r="D22" s="55" t="s">
        <v>73</v>
      </c>
      <c r="E22" s="79" t="s">
        <v>45</v>
      </c>
      <c r="F22" s="56">
        <f>F21/F$11</f>
        <v>6.0392377015324065E-2</v>
      </c>
      <c r="G22" s="56">
        <f t="shared" ref="G22:J22" si="20">G21/G$11</f>
        <v>5.6365908020544433E-2</v>
      </c>
      <c r="H22" s="56">
        <f t="shared" si="20"/>
        <v>4.8491724514043551E-2</v>
      </c>
      <c r="I22" s="56">
        <f t="shared" si="20"/>
        <v>4.2709758424172253E-2</v>
      </c>
      <c r="J22" s="56">
        <f t="shared" si="20"/>
        <v>4.4105510103855404E-2</v>
      </c>
      <c r="K22" s="62">
        <f>AVERAGE($F$22:$J$22)</f>
        <v>5.0413055615587933E-2</v>
      </c>
      <c r="L22" s="62">
        <f t="shared" ref="L22:O22" si="21">AVERAGE($F$22:$J$22)</f>
        <v>5.0413055615587933E-2</v>
      </c>
      <c r="M22" s="62">
        <f t="shared" si="21"/>
        <v>5.0413055615587933E-2</v>
      </c>
      <c r="N22" s="62">
        <f t="shared" si="21"/>
        <v>5.0413055615587933E-2</v>
      </c>
      <c r="O22" s="62">
        <f t="shared" si="21"/>
        <v>5.0413055615587933E-2</v>
      </c>
    </row>
    <row r="23" spans="1:15" s="2" customFormat="1" x14ac:dyDescent="0.3">
      <c r="A23" s="6"/>
      <c r="B23" s="51" t="s">
        <v>78</v>
      </c>
      <c r="C23" s="51"/>
      <c r="D23" s="51"/>
      <c r="E23" s="80" t="s">
        <v>14</v>
      </c>
      <c r="F23" s="52">
        <f>F19-F21</f>
        <v>6197.3999999999887</v>
      </c>
      <c r="G23" s="52">
        <f t="shared" ref="G23:J23" si="22">G19-G21</f>
        <v>8530.4699999999993</v>
      </c>
      <c r="H23" s="52">
        <f t="shared" si="22"/>
        <v>8479.659999999998</v>
      </c>
      <c r="I23" s="52">
        <f t="shared" si="22"/>
        <v>7311.9400000000078</v>
      </c>
      <c r="J23" s="52">
        <f t="shared" si="22"/>
        <v>9592.6299999999937</v>
      </c>
      <c r="K23" s="65">
        <f>K19-K21</f>
        <v>12163.714772428946</v>
      </c>
      <c r="L23" s="65">
        <f t="shared" ref="L23:O23" si="23">L19-L21</f>
        <v>13882.693455121083</v>
      </c>
      <c r="M23" s="65">
        <f t="shared" si="23"/>
        <v>15844.598560113733</v>
      </c>
      <c r="N23" s="65">
        <f t="shared" si="23"/>
        <v>18083.760499555632</v>
      </c>
      <c r="O23" s="65">
        <f t="shared" si="23"/>
        <v>20639.361266527478</v>
      </c>
    </row>
    <row r="24" spans="1:15" s="55" customFormat="1" x14ac:dyDescent="0.3">
      <c r="D24" s="55" t="s">
        <v>79</v>
      </c>
      <c r="E24" s="79" t="s">
        <v>45</v>
      </c>
      <c r="F24" s="56">
        <f>F23/F$11</f>
        <v>0.15246067754888945</v>
      </c>
      <c r="G24" s="56">
        <f t="shared" ref="G24:J24" si="24">G23/G$11</f>
        <v>0.19751789487625596</v>
      </c>
      <c r="H24" s="56">
        <f t="shared" si="24"/>
        <v>0.16737220432307365</v>
      </c>
      <c r="I24" s="56">
        <f t="shared" si="24"/>
        <v>0.1192296967868704</v>
      </c>
      <c r="J24" s="56">
        <f t="shared" si="24"/>
        <v>0.13975148538118015</v>
      </c>
      <c r="K24" s="62">
        <f>K23/K$11</f>
        <v>0.1552663917832538</v>
      </c>
      <c r="L24" s="62">
        <f t="shared" ref="L24:O24" si="25">L23/L$11</f>
        <v>0.1552663917832538</v>
      </c>
      <c r="M24" s="62">
        <f t="shared" si="25"/>
        <v>0.15526639178325383</v>
      </c>
      <c r="N24" s="62">
        <f t="shared" si="25"/>
        <v>0.15526639178325385</v>
      </c>
      <c r="O24" s="62">
        <f t="shared" si="25"/>
        <v>0.1552663917832538</v>
      </c>
    </row>
    <row r="25" spans="1:15" x14ac:dyDescent="0.3">
      <c r="B25" t="s">
        <v>80</v>
      </c>
      <c r="E25" s="7" t="s">
        <v>14</v>
      </c>
      <c r="F25" s="46">
        <f>'Data Sheet'!G24</f>
        <v>1704.22</v>
      </c>
      <c r="G25" s="46">
        <f>'Data Sheet'!H24</f>
        <v>1259.08</v>
      </c>
      <c r="H25" s="46">
        <f>'Data Sheet'!I24</f>
        <v>798.37</v>
      </c>
      <c r="I25" s="46">
        <f>'Data Sheet'!J24</f>
        <v>755</v>
      </c>
      <c r="J25" s="46">
        <f>'Data Sheet'!K24</f>
        <v>866.8</v>
      </c>
      <c r="K25" s="63">
        <f>K11*K26</f>
        <v>1751.3251501414929</v>
      </c>
      <c r="L25" s="63">
        <f t="shared" ref="L25:O25" si="26">L11*L26</f>
        <v>1998.8227818994822</v>
      </c>
      <c r="M25" s="63">
        <f t="shared" si="26"/>
        <v>2281.2968300704169</v>
      </c>
      <c r="N25" s="63">
        <f t="shared" si="26"/>
        <v>2603.6901690422355</v>
      </c>
      <c r="O25" s="63">
        <f t="shared" si="26"/>
        <v>2971.6442012317743</v>
      </c>
    </row>
    <row r="26" spans="1:15" s="55" customFormat="1" x14ac:dyDescent="0.3">
      <c r="D26" s="55" t="s">
        <v>73</v>
      </c>
      <c r="E26" s="79" t="s">
        <v>45</v>
      </c>
      <c r="F26" s="56">
        <f>F25/F$11</f>
        <v>4.1925087277304811E-2</v>
      </c>
      <c r="G26" s="56">
        <f t="shared" ref="G26:J26" si="27">G25/G$11</f>
        <v>2.9153239045538681E-2</v>
      </c>
      <c r="H26" s="56">
        <f t="shared" si="27"/>
        <v>1.5758290634932573E-2</v>
      </c>
      <c r="I26" s="56">
        <f t="shared" si="27"/>
        <v>1.2311154231857354E-2</v>
      </c>
      <c r="J26" s="56">
        <f t="shared" si="27"/>
        <v>1.2628089223540053E-2</v>
      </c>
      <c r="K26" s="62">
        <f>AVERAGE($F$26:$J$26)</f>
        <v>2.2355172082634697E-2</v>
      </c>
      <c r="L26" s="62">
        <f t="shared" ref="L26:O26" si="28">AVERAGE($F$26:$J$26)</f>
        <v>2.2355172082634697E-2</v>
      </c>
      <c r="M26" s="62">
        <f t="shared" si="28"/>
        <v>2.2355172082634697E-2</v>
      </c>
      <c r="N26" s="62">
        <f t="shared" si="28"/>
        <v>2.2355172082634697E-2</v>
      </c>
      <c r="O26" s="62">
        <f t="shared" si="28"/>
        <v>2.2355172082634697E-2</v>
      </c>
    </row>
    <row r="27" spans="1:15" x14ac:dyDescent="0.3">
      <c r="B27" t="s">
        <v>81</v>
      </c>
      <c r="E27" s="7" t="s">
        <v>14</v>
      </c>
      <c r="F27" s="46">
        <f>'Data Sheet'!G18</f>
        <v>726.58</v>
      </c>
      <c r="G27" s="46">
        <f>'Data Sheet'!H18</f>
        <v>788.68</v>
      </c>
      <c r="H27" s="46">
        <f>'Data Sheet'!I18</f>
        <v>611.79999999999995</v>
      </c>
      <c r="I27" s="46">
        <f>'Data Sheet'!J18</f>
        <v>689.43</v>
      </c>
      <c r="J27" s="46">
        <f>'Data Sheet'!K18</f>
        <v>662.15</v>
      </c>
      <c r="K27" s="63">
        <f>K11*K28</f>
        <v>1082.6742252110907</v>
      </c>
      <c r="L27" s="63">
        <f t="shared" ref="L27:O27" si="29">L11*L28</f>
        <v>1235.6779702229819</v>
      </c>
      <c r="M27" s="63">
        <f t="shared" si="29"/>
        <v>1410.3042360657346</v>
      </c>
      <c r="N27" s="63">
        <f t="shared" si="29"/>
        <v>1609.6087218468756</v>
      </c>
      <c r="O27" s="63">
        <f t="shared" si="29"/>
        <v>1837.0789587026193</v>
      </c>
    </row>
    <row r="28" spans="1:15" s="55" customFormat="1" x14ac:dyDescent="0.3">
      <c r="D28" s="55" t="s">
        <v>73</v>
      </c>
      <c r="E28" s="79" t="s">
        <v>45</v>
      </c>
      <c r="F28" s="56">
        <f>F27/F$11</f>
        <v>1.7874411703855213E-2</v>
      </c>
      <c r="G28" s="56">
        <f t="shared" ref="G28:J28" si="30">G27/G$11</f>
        <v>1.8261410371410432E-2</v>
      </c>
      <c r="H28" s="56">
        <f t="shared" si="30"/>
        <v>1.2075757118193002E-2</v>
      </c>
      <c r="I28" s="56">
        <f t="shared" si="30"/>
        <v>1.1241959022608496E-2</v>
      </c>
      <c r="J28" s="56">
        <f t="shared" si="30"/>
        <v>9.6466189194359103E-3</v>
      </c>
      <c r="K28" s="62">
        <f>AVERAGE($F$28:$J$28)</f>
        <v>1.382003142710061E-2</v>
      </c>
      <c r="L28" s="62">
        <f t="shared" ref="L28:O28" si="31">AVERAGE($F$28:$J$28)</f>
        <v>1.382003142710061E-2</v>
      </c>
      <c r="M28" s="62">
        <f t="shared" si="31"/>
        <v>1.382003142710061E-2</v>
      </c>
      <c r="N28" s="62">
        <f t="shared" si="31"/>
        <v>1.382003142710061E-2</v>
      </c>
      <c r="O28" s="62">
        <f t="shared" si="31"/>
        <v>1.382003142710061E-2</v>
      </c>
    </row>
    <row r="29" spans="1:15" x14ac:dyDescent="0.3">
      <c r="B29" t="s">
        <v>32</v>
      </c>
      <c r="E29" s="7" t="s">
        <v>14</v>
      </c>
      <c r="F29" s="46">
        <f>'Data Sheet'!G31</f>
        <v>0</v>
      </c>
      <c r="G29" s="46">
        <f>'Data Sheet'!H31</f>
        <v>-164</v>
      </c>
      <c r="H29" s="46">
        <f>'Data Sheet'!I31</f>
        <v>0</v>
      </c>
      <c r="I29" s="46">
        <f>'Data Sheet'!J31</f>
        <v>0</v>
      </c>
      <c r="J29" s="46">
        <f>'Data Sheet'!K31</f>
        <v>-72</v>
      </c>
      <c r="K29" s="66"/>
      <c r="L29" s="66"/>
      <c r="M29" s="66"/>
      <c r="N29" s="66"/>
      <c r="O29" s="66"/>
    </row>
    <row r="30" spans="1:15" s="2" customFormat="1" x14ac:dyDescent="0.3">
      <c r="A30" s="6"/>
      <c r="B30" s="51" t="s">
        <v>82</v>
      </c>
      <c r="C30" s="51"/>
      <c r="D30" s="51"/>
      <c r="E30" s="80" t="s">
        <v>14</v>
      </c>
      <c r="F30" s="52">
        <f>F23-F25+F27+F29</f>
        <v>5219.7599999999884</v>
      </c>
      <c r="G30" s="52">
        <f t="shared" ref="G30:J30" si="32">G23-G25+G27+G29</f>
        <v>7896.07</v>
      </c>
      <c r="H30" s="52">
        <f t="shared" si="32"/>
        <v>8293.0899999999983</v>
      </c>
      <c r="I30" s="52">
        <f t="shared" si="32"/>
        <v>7246.3700000000081</v>
      </c>
      <c r="J30" s="52">
        <f t="shared" si="32"/>
        <v>9315.9799999999941</v>
      </c>
      <c r="K30" s="67">
        <f>K23-K25+K27+K29</f>
        <v>11495.063847498544</v>
      </c>
      <c r="L30" s="67">
        <f t="shared" ref="L30:O30" si="33">L23-L25+L27+L29</f>
        <v>13119.548643444583</v>
      </c>
      <c r="M30" s="67">
        <f t="shared" si="33"/>
        <v>14973.605966109051</v>
      </c>
      <c r="N30" s="67">
        <f t="shared" si="33"/>
        <v>17089.679052360272</v>
      </c>
      <c r="O30" s="67">
        <f t="shared" si="33"/>
        <v>19504.796023998322</v>
      </c>
    </row>
    <row r="31" spans="1:15" s="55" customFormat="1" x14ac:dyDescent="0.3">
      <c r="D31" s="55" t="s">
        <v>73</v>
      </c>
      <c r="E31" s="79" t="s">
        <v>45</v>
      </c>
      <c r="F31" s="57">
        <f>F30/F$11</f>
        <v>0.12841000197543984</v>
      </c>
      <c r="G31" s="57">
        <f t="shared" ref="G31:J31" si="34">G30/G$11</f>
        <v>0.18282874498070545</v>
      </c>
      <c r="H31" s="57">
        <f t="shared" si="34"/>
        <v>0.16368967080633409</v>
      </c>
      <c r="I31" s="57">
        <f t="shared" si="34"/>
        <v>0.11816050157762155</v>
      </c>
      <c r="J31" s="57">
        <f t="shared" si="34"/>
        <v>0.13572107365564673</v>
      </c>
      <c r="K31" s="68">
        <f>K30/K$11</f>
        <v>0.14673125112771973</v>
      </c>
      <c r="L31" s="68">
        <f t="shared" ref="L31:O31" si="35">L30/L$11</f>
        <v>0.14673125112771973</v>
      </c>
      <c r="M31" s="68">
        <f t="shared" si="35"/>
        <v>0.14673125112771976</v>
      </c>
      <c r="N31" s="68">
        <f t="shared" si="35"/>
        <v>0.14673125112771976</v>
      </c>
      <c r="O31" s="68">
        <f t="shared" si="35"/>
        <v>0.1467312511277197</v>
      </c>
    </row>
    <row r="32" spans="1:15" x14ac:dyDescent="0.3">
      <c r="B32" t="s">
        <v>83</v>
      </c>
      <c r="E32" s="7" t="s">
        <v>14</v>
      </c>
      <c r="F32" s="46">
        <f>'Data Sheet'!G33</f>
        <v>-235.78</v>
      </c>
      <c r="G32" s="46">
        <f>'Data Sheet'!H33</f>
        <v>2554</v>
      </c>
      <c r="H32" s="46">
        <f>'Data Sheet'!I33</f>
        <v>1226.55</v>
      </c>
      <c r="I32" s="46">
        <f>'Data Sheet'!J33</f>
        <v>2329.4899999999998</v>
      </c>
      <c r="J32" s="46">
        <f>'Data Sheet'!K33</f>
        <v>2411.11</v>
      </c>
      <c r="K32" s="60">
        <f>K30*K33</f>
        <v>2313.8781250921675</v>
      </c>
      <c r="L32" s="60">
        <f t="shared" ref="L32:O32" si="36">L30*L33</f>
        <v>2640.8758594024753</v>
      </c>
      <c r="M32" s="60">
        <f t="shared" si="36"/>
        <v>3014.084981030263</v>
      </c>
      <c r="N32" s="60">
        <f t="shared" si="36"/>
        <v>3440.0360927710185</v>
      </c>
      <c r="O32" s="60">
        <f t="shared" si="36"/>
        <v>3926.1827035554552</v>
      </c>
    </row>
    <row r="33" spans="1:15" s="58" customFormat="1" x14ac:dyDescent="0.3">
      <c r="D33" s="58" t="s">
        <v>84</v>
      </c>
      <c r="E33" s="79" t="s">
        <v>45</v>
      </c>
      <c r="F33" s="57">
        <f>F32/F30</f>
        <v>-4.5170659187395691E-2</v>
      </c>
      <c r="G33" s="57">
        <f t="shared" ref="G33:J33" si="37">G32/G30</f>
        <v>0.32345204639776498</v>
      </c>
      <c r="H33" s="57">
        <f t="shared" si="37"/>
        <v>0.14790023983822678</v>
      </c>
      <c r="I33" s="57">
        <f t="shared" si="37"/>
        <v>0.32146992218172649</v>
      </c>
      <c r="J33" s="57">
        <f t="shared" si="37"/>
        <v>0.25881442424736867</v>
      </c>
      <c r="K33" s="62">
        <f>AVERAGE($F33:J33)</f>
        <v>0.20129319469553825</v>
      </c>
      <c r="L33" s="62">
        <f>AVERAGE($F33:K33)</f>
        <v>0.20129319469553827</v>
      </c>
      <c r="M33" s="62">
        <f>AVERAGE($F33:L33)</f>
        <v>0.20129319469553827</v>
      </c>
      <c r="N33" s="62">
        <f>AVERAGE($F33:M33)</f>
        <v>0.20129319469553827</v>
      </c>
      <c r="O33" s="62">
        <f>AVERAGE($F33:N33)</f>
        <v>0.20129319469553827</v>
      </c>
    </row>
    <row r="34" spans="1:15" s="2" customFormat="1" x14ac:dyDescent="0.3">
      <c r="A34" s="6"/>
      <c r="B34" s="53" t="s">
        <v>85</v>
      </c>
      <c r="C34" s="53"/>
      <c r="D34" s="53"/>
      <c r="E34" s="81" t="s">
        <v>14</v>
      </c>
      <c r="F34" s="54">
        <f>F30-F32</f>
        <v>5455.5399999999881</v>
      </c>
      <c r="G34" s="54">
        <f t="shared" ref="G34:J34" si="38">G30-G32</f>
        <v>5342.07</v>
      </c>
      <c r="H34" s="54">
        <f t="shared" si="38"/>
        <v>7066.5399999999981</v>
      </c>
      <c r="I34" s="54">
        <f t="shared" si="38"/>
        <v>4916.8800000000083</v>
      </c>
      <c r="J34" s="54">
        <f t="shared" si="38"/>
        <v>6904.8699999999935</v>
      </c>
      <c r="K34" s="73">
        <f t="shared" ref="K34:O34" si="39">K30-K32</f>
        <v>9181.185722406377</v>
      </c>
      <c r="L34" s="73">
        <f t="shared" si="39"/>
        <v>10478.672784042108</v>
      </c>
      <c r="M34" s="73">
        <f t="shared" si="39"/>
        <v>11959.520985078789</v>
      </c>
      <c r="N34" s="73">
        <f t="shared" si="39"/>
        <v>13649.642959589253</v>
      </c>
      <c r="O34" s="73">
        <f t="shared" si="39"/>
        <v>15578.613320442866</v>
      </c>
    </row>
    <row r="35" spans="1:15" x14ac:dyDescent="0.3">
      <c r="E35" s="7"/>
    </row>
    <row r="36" spans="1:15" s="49" customFormat="1" ht="15.6" x14ac:dyDescent="0.3">
      <c r="A36" s="47" t="s">
        <v>68</v>
      </c>
      <c r="B36" s="48" t="s">
        <v>86</v>
      </c>
      <c r="C36" s="48"/>
      <c r="D36" s="48"/>
      <c r="E36" s="82"/>
      <c r="F36" s="48"/>
      <c r="G36" s="48"/>
      <c r="H36" s="48"/>
      <c r="I36" s="48"/>
      <c r="J36" s="48"/>
      <c r="K36" s="48"/>
      <c r="L36" s="48"/>
      <c r="M36" s="48"/>
      <c r="N36" s="48"/>
      <c r="O36" s="48"/>
    </row>
    <row r="37" spans="1:15" x14ac:dyDescent="0.3">
      <c r="B37" t="s">
        <v>12</v>
      </c>
      <c r="E37" s="7"/>
    </row>
    <row r="38" spans="1:15" x14ac:dyDescent="0.3">
      <c r="C38" t="s">
        <v>13</v>
      </c>
      <c r="E38" s="7" t="s">
        <v>14</v>
      </c>
      <c r="F38" s="70">
        <f>'Data Sheet'!G53</f>
        <v>4903.9057000000003</v>
      </c>
      <c r="G38" s="70">
        <f>'Data Sheet'!H53</f>
        <v>4311.0612000000001</v>
      </c>
      <c r="H38" s="70">
        <f>'Data Sheet'!I53</f>
        <v>4547.9295000000002</v>
      </c>
      <c r="I38" s="70">
        <f>'Data Sheet'!J53</f>
        <v>5172.5951000000005</v>
      </c>
      <c r="J38" s="70">
        <f>'Data Sheet'!K53</f>
        <v>4784.1248999999998</v>
      </c>
      <c r="K38" s="69">
        <f>J38*(1+K$41)</f>
        <v>5071.1723940000002</v>
      </c>
      <c r="L38" s="69">
        <f t="shared" ref="L38:O38" si="40">K38*(1+L$41)</f>
        <v>5375.4427376400008</v>
      </c>
      <c r="M38" s="69">
        <f t="shared" si="40"/>
        <v>5697.9693018984008</v>
      </c>
      <c r="N38" s="69">
        <f t="shared" si="40"/>
        <v>6039.8474600123054</v>
      </c>
      <c r="O38" s="69">
        <f t="shared" si="40"/>
        <v>6402.2383076130436</v>
      </c>
    </row>
    <row r="39" spans="1:15" x14ac:dyDescent="0.3">
      <c r="C39" t="s">
        <v>17</v>
      </c>
      <c r="E39" s="7" t="s">
        <v>14</v>
      </c>
      <c r="F39" s="70">
        <f>'Data Sheet'!G54</f>
        <v>153.63549999999989</v>
      </c>
      <c r="G39" s="70">
        <f>'Data Sheet'!H54</f>
        <v>125.6067</v>
      </c>
      <c r="H39" s="70">
        <f>'Data Sheet'!I54</f>
        <v>165.18390000000014</v>
      </c>
      <c r="I39" s="70">
        <f>'Data Sheet'!J54</f>
        <v>208.21520000000018</v>
      </c>
      <c r="J39" s="70">
        <f>'Data Sheet'!K54</f>
        <v>158.30929999999992</v>
      </c>
      <c r="K39" s="69">
        <f>J39*(1+K$41)</f>
        <v>167.80785799999992</v>
      </c>
      <c r="L39" s="69">
        <f t="shared" ref="L39:O39" si="41">K39*(1+L$41)</f>
        <v>177.87632947999992</v>
      </c>
      <c r="M39" s="69">
        <f t="shared" si="41"/>
        <v>188.54890924879993</v>
      </c>
      <c r="N39" s="69">
        <f t="shared" si="41"/>
        <v>199.86184380372794</v>
      </c>
      <c r="O39" s="69">
        <f t="shared" si="41"/>
        <v>211.85355443195164</v>
      </c>
    </row>
    <row r="40" spans="1:15" s="2" customFormat="1" x14ac:dyDescent="0.3">
      <c r="A40" s="6"/>
      <c r="B40" s="2" t="s">
        <v>18</v>
      </c>
      <c r="E40" s="6" t="s">
        <v>14</v>
      </c>
      <c r="F40" s="71">
        <f>SUM(F38:F39)</f>
        <v>5057.5412000000006</v>
      </c>
      <c r="G40" s="71">
        <f t="shared" ref="G40:J40" si="42">SUM(G38:G39)</f>
        <v>4436.6679000000004</v>
      </c>
      <c r="H40" s="71">
        <f t="shared" si="42"/>
        <v>4713.1134000000002</v>
      </c>
      <c r="I40" s="71">
        <f t="shared" si="42"/>
        <v>5380.810300000001</v>
      </c>
      <c r="J40" s="71">
        <f t="shared" si="42"/>
        <v>4942.4341999999997</v>
      </c>
      <c r="K40" s="72">
        <f>SUM(K38:K39)</f>
        <v>5238.9802520000003</v>
      </c>
      <c r="L40" s="72">
        <f t="shared" ref="L40:O40" si="43">SUM(L38:L39)</f>
        <v>5553.3190671200009</v>
      </c>
      <c r="M40" s="72">
        <f t="shared" si="43"/>
        <v>5886.5182111472004</v>
      </c>
      <c r="N40" s="72">
        <f t="shared" si="43"/>
        <v>6239.7093038160338</v>
      </c>
      <c r="O40" s="72">
        <f t="shared" si="43"/>
        <v>6614.0918620449957</v>
      </c>
    </row>
    <row r="41" spans="1:15" s="55" customFormat="1" x14ac:dyDescent="0.3">
      <c r="D41" s="55" t="s">
        <v>71</v>
      </c>
      <c r="E41" s="79" t="s">
        <v>45</v>
      </c>
      <c r="F41" s="56"/>
      <c r="G41" s="120">
        <f>G40/F40-1</f>
        <v>-0.12276188674449162</v>
      </c>
      <c r="H41" s="120">
        <f t="shared" ref="H41:J41" si="44">H40/G40-1</f>
        <v>6.2309261416659156E-2</v>
      </c>
      <c r="I41" s="120">
        <f t="shared" si="44"/>
        <v>0.14166790470180524</v>
      </c>
      <c r="J41" s="120">
        <f t="shared" si="44"/>
        <v>-8.1470275954534488E-2</v>
      </c>
      <c r="K41" s="62">
        <v>0.06</v>
      </c>
      <c r="L41" s="62">
        <v>0.06</v>
      </c>
      <c r="M41" s="62">
        <v>0.06</v>
      </c>
      <c r="N41" s="62">
        <v>0.06</v>
      </c>
      <c r="O41" s="62">
        <v>0.06</v>
      </c>
    </row>
    <row r="42" spans="1:15" x14ac:dyDescent="0.3">
      <c r="B42" t="s">
        <v>72</v>
      </c>
      <c r="E42" s="7" t="s">
        <v>14</v>
      </c>
      <c r="F42" s="46">
        <f>SUM('Data Sheet'!G58:G60)</f>
        <v>901.61620000000005</v>
      </c>
      <c r="G42" s="46">
        <f>SUM('Data Sheet'!H58:H60)</f>
        <v>778.17560000000003</v>
      </c>
      <c r="H42" s="46">
        <f>SUM('Data Sheet'!I58:I60)</f>
        <v>756.75340000000017</v>
      </c>
      <c r="I42" s="46">
        <f>SUM('Data Sheet'!J58:J60)</f>
        <v>936.83730000000014</v>
      </c>
      <c r="J42" s="46">
        <f>SUM('Data Sheet'!K58:K60)</f>
        <v>925.22040000000004</v>
      </c>
      <c r="K42" s="60">
        <f>K$40*K43</f>
        <v>917.38512062929806</v>
      </c>
      <c r="L42" s="60">
        <f t="shared" ref="L42:O42" si="45">L$40*L43</f>
        <v>972.42822786705608</v>
      </c>
      <c r="M42" s="60">
        <f t="shared" si="45"/>
        <v>1030.7739215390793</v>
      </c>
      <c r="N42" s="60">
        <f t="shared" si="45"/>
        <v>1092.6203568314243</v>
      </c>
      <c r="O42" s="60">
        <f t="shared" si="45"/>
        <v>1158.1775782413097</v>
      </c>
    </row>
    <row r="43" spans="1:15" s="55" customFormat="1" x14ac:dyDescent="0.3">
      <c r="D43" s="55" t="s">
        <v>73</v>
      </c>
      <c r="E43" s="79" t="s">
        <v>45</v>
      </c>
      <c r="F43" s="56">
        <f>F42/F$40</f>
        <v>0.17827164709997814</v>
      </c>
      <c r="G43" s="56">
        <f t="shared" ref="G43:J43" si="46">G42/G$40</f>
        <v>0.17539640503631113</v>
      </c>
      <c r="H43" s="56">
        <f t="shared" si="46"/>
        <v>0.16056337621751263</v>
      </c>
      <c r="I43" s="56">
        <f t="shared" si="46"/>
        <v>0.17410710427758436</v>
      </c>
      <c r="J43" s="56">
        <f t="shared" si="46"/>
        <v>0.18719933590618162</v>
      </c>
      <c r="K43" s="62">
        <f>AVERAGE($F$43:$J$43)</f>
        <v>0.17510757370751356</v>
      </c>
      <c r="L43" s="62">
        <f t="shared" ref="L43:O43" si="47">AVERAGE($F$43:$J$43)</f>
        <v>0.17510757370751356</v>
      </c>
      <c r="M43" s="62">
        <f t="shared" si="47"/>
        <v>0.17510757370751356</v>
      </c>
      <c r="N43" s="62">
        <f t="shared" si="47"/>
        <v>0.17510757370751356</v>
      </c>
      <c r="O43" s="62">
        <f t="shared" si="47"/>
        <v>0.17510757370751356</v>
      </c>
    </row>
    <row r="44" spans="1:15" s="2" customFormat="1" x14ac:dyDescent="0.3">
      <c r="A44" s="6"/>
      <c r="B44" s="51" t="s">
        <v>74</v>
      </c>
      <c r="C44" s="51"/>
      <c r="D44" s="51"/>
      <c r="E44" s="80" t="s">
        <v>14</v>
      </c>
      <c r="F44" s="52">
        <f>F40-F42</f>
        <v>4155.9250000000002</v>
      </c>
      <c r="G44" s="52">
        <f t="shared" ref="G44:I44" si="48">G40-G42</f>
        <v>3658.4923000000003</v>
      </c>
      <c r="H44" s="52">
        <f t="shared" si="48"/>
        <v>3956.36</v>
      </c>
      <c r="I44" s="52">
        <f t="shared" si="48"/>
        <v>4443.9730000000009</v>
      </c>
      <c r="J44" s="52">
        <f>J40-J42</f>
        <v>4017.2137999999995</v>
      </c>
      <c r="K44" s="64">
        <f>K40-K42</f>
        <v>4321.5951313707019</v>
      </c>
      <c r="L44" s="64">
        <f t="shared" ref="L44:O44" si="49">L40-L42</f>
        <v>4580.8908392529447</v>
      </c>
      <c r="M44" s="64">
        <f t="shared" si="49"/>
        <v>4855.7442896081211</v>
      </c>
      <c r="N44" s="64">
        <f t="shared" si="49"/>
        <v>5147.0889469846097</v>
      </c>
      <c r="O44" s="64">
        <f t="shared" si="49"/>
        <v>5455.914283803686</v>
      </c>
    </row>
    <row r="45" spans="1:15" s="55" customFormat="1" x14ac:dyDescent="0.3">
      <c r="D45" s="55" t="s">
        <v>73</v>
      </c>
      <c r="E45" s="79" t="s">
        <v>45</v>
      </c>
      <c r="F45" s="56">
        <f>F44/F40</f>
        <v>0.82172835290002177</v>
      </c>
      <c r="G45" s="56">
        <f t="shared" ref="G45:J45" si="50">G44/G40</f>
        <v>0.82460359496368885</v>
      </c>
      <c r="H45" s="56">
        <f t="shared" si="50"/>
        <v>0.8394366237824874</v>
      </c>
      <c r="I45" s="56">
        <f t="shared" si="50"/>
        <v>0.82589289572241564</v>
      </c>
      <c r="J45" s="56">
        <f t="shared" si="50"/>
        <v>0.81280066409381835</v>
      </c>
      <c r="K45" s="62">
        <f>K44/K$40</f>
        <v>0.82489242629248638</v>
      </c>
      <c r="L45" s="62">
        <f t="shared" ref="L45:O45" si="51">L44/L$40</f>
        <v>0.82489242629248638</v>
      </c>
      <c r="M45" s="62">
        <f t="shared" si="51"/>
        <v>0.82489242629248638</v>
      </c>
      <c r="N45" s="62">
        <f t="shared" si="51"/>
        <v>0.82489242629248649</v>
      </c>
      <c r="O45" s="62">
        <f t="shared" si="51"/>
        <v>0.82489242629248649</v>
      </c>
    </row>
    <row r="46" spans="1:15" x14ac:dyDescent="0.3">
      <c r="B46" t="s">
        <v>75</v>
      </c>
      <c r="E46" s="7" t="s">
        <v>14</v>
      </c>
      <c r="F46" s="46">
        <f>SUM('Data Sheet'!G61,'Data Sheet'!G64)</f>
        <v>3570.7046</v>
      </c>
      <c r="G46" s="46">
        <f>SUM('Data Sheet'!H61,'Data Sheet'!H64)</f>
        <v>2852.6545000000001</v>
      </c>
      <c r="H46" s="46">
        <f>SUM('Data Sheet'!I61,'Data Sheet'!I64)</f>
        <v>3495.2359999999999</v>
      </c>
      <c r="I46" s="46">
        <f>SUM('Data Sheet'!J61,'Data Sheet'!J64)</f>
        <v>4618.4422000000004</v>
      </c>
      <c r="J46" s="46">
        <f>SUM('Data Sheet'!K61,'Data Sheet'!K64)</f>
        <v>3908.2288000000003</v>
      </c>
      <c r="K46" s="60">
        <f>K40*K47</f>
        <v>3248.16775624</v>
      </c>
      <c r="L46" s="60">
        <f t="shared" ref="L46:O46" si="52">L40*L47</f>
        <v>3443.0578216144004</v>
      </c>
      <c r="M46" s="60">
        <f t="shared" si="52"/>
        <v>3649.6412909112642</v>
      </c>
      <c r="N46" s="60">
        <f t="shared" si="52"/>
        <v>3868.6197683659407</v>
      </c>
      <c r="O46" s="60">
        <f t="shared" si="52"/>
        <v>4100.7369544678977</v>
      </c>
    </row>
    <row r="47" spans="1:15" s="55" customFormat="1" x14ac:dyDescent="0.3">
      <c r="D47" s="55" t="s">
        <v>73</v>
      </c>
      <c r="E47" s="79" t="s">
        <v>45</v>
      </c>
      <c r="F47" s="56">
        <f>F46/F$40</f>
        <v>0.70601591935622776</v>
      </c>
      <c r="G47" s="56">
        <f t="shared" ref="G47" si="53">G46/G$40</f>
        <v>0.6429722855749469</v>
      </c>
      <c r="H47" s="56">
        <f>H46/H$40</f>
        <v>0.74159811219479665</v>
      </c>
      <c r="I47" s="56">
        <f t="shared" ref="I47:J47" si="54">I46/I$40</f>
        <v>0.85831723151436867</v>
      </c>
      <c r="J47" s="56">
        <f t="shared" si="54"/>
        <v>0.79074978883886826</v>
      </c>
      <c r="K47" s="62">
        <v>0.62</v>
      </c>
      <c r="L47" s="62">
        <v>0.62</v>
      </c>
      <c r="M47" s="62">
        <v>0.62</v>
      </c>
      <c r="N47" s="62">
        <v>0.62</v>
      </c>
      <c r="O47" s="62">
        <v>0.62</v>
      </c>
    </row>
    <row r="48" spans="1:15" s="2" customFormat="1" x14ac:dyDescent="0.3">
      <c r="A48" s="6"/>
      <c r="B48" s="51" t="s">
        <v>76</v>
      </c>
      <c r="C48" s="51"/>
      <c r="D48" s="51"/>
      <c r="E48" s="80" t="s">
        <v>14</v>
      </c>
      <c r="F48" s="52">
        <f>F44-F46</f>
        <v>585.22040000000015</v>
      </c>
      <c r="G48" s="52">
        <f t="shared" ref="G48:J48" si="55">G44-G46</f>
        <v>805.83780000000024</v>
      </c>
      <c r="H48" s="52">
        <f t="shared" si="55"/>
        <v>461.12400000000025</v>
      </c>
      <c r="I48" s="52">
        <f t="shared" si="55"/>
        <v>-174.46919999999955</v>
      </c>
      <c r="J48" s="52">
        <f t="shared" si="55"/>
        <v>108.98499999999922</v>
      </c>
      <c r="K48" s="64">
        <f>K44-K46</f>
        <v>1073.4273751307019</v>
      </c>
      <c r="L48" s="64">
        <f t="shared" ref="L48:O48" si="56">L44-L46</f>
        <v>1137.8330176385443</v>
      </c>
      <c r="M48" s="64">
        <f t="shared" si="56"/>
        <v>1206.102998696857</v>
      </c>
      <c r="N48" s="64">
        <f t="shared" si="56"/>
        <v>1278.469178618669</v>
      </c>
      <c r="O48" s="64">
        <f t="shared" si="56"/>
        <v>1355.1773293357883</v>
      </c>
    </row>
    <row r="49" spans="1:18" s="55" customFormat="1" x14ac:dyDescent="0.3">
      <c r="D49" s="55" t="s">
        <v>77</v>
      </c>
      <c r="E49" s="79" t="s">
        <v>45</v>
      </c>
      <c r="F49" s="56">
        <f>F48/F$40</f>
        <v>0.11571243354379399</v>
      </c>
      <c r="G49" s="56">
        <f t="shared" ref="G49:I49" si="57">G48/G$40</f>
        <v>0.18163130938874197</v>
      </c>
      <c r="H49" s="56">
        <f t="shared" si="57"/>
        <v>9.7838511587690677E-2</v>
      </c>
      <c r="I49" s="56">
        <f t="shared" si="57"/>
        <v>-3.242433579195303E-2</v>
      </c>
      <c r="J49" s="56">
        <f>J48/J$40</f>
        <v>2.2050875254950128E-2</v>
      </c>
      <c r="K49" s="62">
        <f>K48/K$40</f>
        <v>0.20489242629248638</v>
      </c>
      <c r="L49" s="62">
        <f t="shared" ref="L49:O49" si="58">L48/L$40</f>
        <v>0.20489242629248644</v>
      </c>
      <c r="M49" s="62">
        <f t="shared" si="58"/>
        <v>0.20489242629248644</v>
      </c>
      <c r="N49" s="62">
        <f t="shared" si="58"/>
        <v>0.20489242629248652</v>
      </c>
      <c r="O49" s="62">
        <f t="shared" si="58"/>
        <v>0.20489242629248638</v>
      </c>
      <c r="R49" s="134"/>
    </row>
    <row r="50" spans="1:18" x14ac:dyDescent="0.3">
      <c r="B50" t="s">
        <v>26</v>
      </c>
      <c r="E50" s="7" t="s">
        <v>14</v>
      </c>
      <c r="F50" s="46">
        <f>'Data Sheet'!G63</f>
        <v>246.84709999999998</v>
      </c>
      <c r="G50" s="46">
        <f>'Data Sheet'!H63</f>
        <v>241.90020000000001</v>
      </c>
      <c r="H50" s="46">
        <f>'Data Sheet'!I63</f>
        <v>219.79049999999998</v>
      </c>
      <c r="I50" s="46">
        <f>'Data Sheet'!J63</f>
        <v>212.9939</v>
      </c>
      <c r="J50" s="46">
        <f>'Data Sheet'!K63</f>
        <v>219.62979999999999</v>
      </c>
      <c r="K50" s="60">
        <f>K51*K$40</f>
        <v>245.16966646936746</v>
      </c>
      <c r="L50" s="60">
        <f t="shared" ref="L50:O50" si="59">L51*L$40</f>
        <v>259.87984645752954</v>
      </c>
      <c r="M50" s="60">
        <f t="shared" si="59"/>
        <v>275.47263724498129</v>
      </c>
      <c r="N50" s="60">
        <f t="shared" si="59"/>
        <v>292.00099547968023</v>
      </c>
      <c r="O50" s="60">
        <f t="shared" si="59"/>
        <v>309.52105520846101</v>
      </c>
    </row>
    <row r="51" spans="1:18" s="55" customFormat="1" x14ac:dyDescent="0.3">
      <c r="D51" s="55" t="s">
        <v>73</v>
      </c>
      <c r="E51" s="79" t="s">
        <v>45</v>
      </c>
      <c r="F51" s="56">
        <f>F50/F$40</f>
        <v>4.8807728941486418E-2</v>
      </c>
      <c r="G51" s="56">
        <f t="shared" ref="G51:J51" si="60">G50/G$40</f>
        <v>5.4522945023674184E-2</v>
      </c>
      <c r="H51" s="56">
        <f t="shared" si="60"/>
        <v>4.6633823832882948E-2</v>
      </c>
      <c r="I51" s="56">
        <f t="shared" si="60"/>
        <v>3.9583982360426262E-2</v>
      </c>
      <c r="J51" s="56">
        <f t="shared" si="60"/>
        <v>4.4437576933244759E-2</v>
      </c>
      <c r="K51" s="62">
        <f>AVERAGE($F$51:$J$51)</f>
        <v>4.6797211418342914E-2</v>
      </c>
      <c r="L51" s="62">
        <f t="shared" ref="L51:O51" si="61">AVERAGE($F$51:$J$51)</f>
        <v>4.6797211418342914E-2</v>
      </c>
      <c r="M51" s="62">
        <f t="shared" si="61"/>
        <v>4.6797211418342914E-2</v>
      </c>
      <c r="N51" s="62">
        <f t="shared" si="61"/>
        <v>4.6797211418342914E-2</v>
      </c>
      <c r="O51" s="62">
        <f t="shared" si="61"/>
        <v>4.6797211418342914E-2</v>
      </c>
    </row>
    <row r="52" spans="1:18" s="2" customFormat="1" x14ac:dyDescent="0.3">
      <c r="A52" s="6"/>
      <c r="B52" s="51" t="s">
        <v>78</v>
      </c>
      <c r="C52" s="51"/>
      <c r="D52" s="51"/>
      <c r="E52" s="80" t="s">
        <v>14</v>
      </c>
      <c r="F52" s="52">
        <f>F48-F50</f>
        <v>338.3733000000002</v>
      </c>
      <c r="G52" s="52">
        <f t="shared" ref="G52:J52" si="62">G48-G50</f>
        <v>563.9376000000002</v>
      </c>
      <c r="H52" s="52">
        <f t="shared" si="62"/>
        <v>241.33350000000027</v>
      </c>
      <c r="I52" s="52">
        <f t="shared" si="62"/>
        <v>-387.46309999999954</v>
      </c>
      <c r="J52" s="52">
        <f t="shared" si="62"/>
        <v>-110.64480000000077</v>
      </c>
      <c r="K52" s="64">
        <f>K48-K50</f>
        <v>828.25770866133439</v>
      </c>
      <c r="L52" s="64">
        <f t="shared" ref="L52:O52" si="63">L48-L50</f>
        <v>877.9531711810148</v>
      </c>
      <c r="M52" s="64">
        <f t="shared" si="63"/>
        <v>930.63036145187561</v>
      </c>
      <c r="N52" s="64">
        <f t="shared" si="63"/>
        <v>986.46818313898882</v>
      </c>
      <c r="O52" s="64">
        <f t="shared" si="63"/>
        <v>1045.6562741273274</v>
      </c>
    </row>
    <row r="53" spans="1:18" s="55" customFormat="1" x14ac:dyDescent="0.3">
      <c r="D53" s="55" t="s">
        <v>79</v>
      </c>
      <c r="E53" s="79" t="s">
        <v>45</v>
      </c>
      <c r="F53" s="56">
        <f>F52/F$40</f>
        <v>6.6904704602307574E-2</v>
      </c>
      <c r="G53" s="56">
        <f t="shared" ref="G53:J53" si="64">G52/G$40</f>
        <v>0.12710836436506778</v>
      </c>
      <c r="H53" s="56">
        <f t="shared" si="64"/>
        <v>5.1204687754807736E-2</v>
      </c>
      <c r="I53" s="56">
        <f t="shared" si="64"/>
        <v>-7.2008318152379291E-2</v>
      </c>
      <c r="J53" s="56">
        <f t="shared" si="64"/>
        <v>-2.2386701678294631E-2</v>
      </c>
      <c r="K53" s="62">
        <f>K52/K$40</f>
        <v>0.15809521487414349</v>
      </c>
      <c r="L53" s="62">
        <f t="shared" ref="L53:O53" si="65">L52/L$40</f>
        <v>0.15809521487414352</v>
      </c>
      <c r="M53" s="62">
        <f t="shared" si="65"/>
        <v>0.15809521487414352</v>
      </c>
      <c r="N53" s="62">
        <f t="shared" si="65"/>
        <v>0.1580952148741436</v>
      </c>
      <c r="O53" s="62">
        <f t="shared" si="65"/>
        <v>0.15809521487414349</v>
      </c>
    </row>
    <row r="54" spans="1:18" x14ac:dyDescent="0.3">
      <c r="B54" t="s">
        <v>80</v>
      </c>
      <c r="E54" s="7" t="s">
        <v>14</v>
      </c>
      <c r="F54" s="46">
        <f>'Data Sheet'!G62</f>
        <v>334.4735</v>
      </c>
      <c r="G54" s="46">
        <f>'Data Sheet'!H62</f>
        <v>264.94880000000001</v>
      </c>
      <c r="H54" s="46">
        <f>'Data Sheet'!I62</f>
        <v>204.0223</v>
      </c>
      <c r="I54" s="46">
        <f>'Data Sheet'!J62</f>
        <v>234.16479999999999</v>
      </c>
      <c r="J54" s="46">
        <f>'Data Sheet'!K62</f>
        <v>240.43520000000001</v>
      </c>
      <c r="K54" s="60">
        <f>K$40*K55</f>
        <v>273.79480158017873</v>
      </c>
      <c r="L54" s="60">
        <f t="shared" ref="L54:O54" si="66">L$40*L55</f>
        <v>290.2224896749895</v>
      </c>
      <c r="M54" s="60">
        <f t="shared" si="66"/>
        <v>307.63583905548882</v>
      </c>
      <c r="N54" s="60">
        <f t="shared" si="66"/>
        <v>326.09398939881822</v>
      </c>
      <c r="O54" s="60">
        <f t="shared" si="66"/>
        <v>345.65962876274733</v>
      </c>
    </row>
    <row r="55" spans="1:18" s="55" customFormat="1" x14ac:dyDescent="0.3">
      <c r="D55" s="55" t="s">
        <v>73</v>
      </c>
      <c r="E55" s="79" t="s">
        <v>45</v>
      </c>
      <c r="F55" s="56">
        <f>F54/F$40</f>
        <v>6.6133618446845274E-2</v>
      </c>
      <c r="G55" s="56">
        <f t="shared" ref="G55:J55" si="67">G54/G$40</f>
        <v>5.9717969875545562E-2</v>
      </c>
      <c r="H55" s="56">
        <f t="shared" si="67"/>
        <v>4.3288222176024876E-2</v>
      </c>
      <c r="I55" s="56">
        <f t="shared" si="67"/>
        <v>4.3518501293383256E-2</v>
      </c>
      <c r="J55" s="56">
        <f t="shared" si="67"/>
        <v>4.8647122100280063E-2</v>
      </c>
      <c r="K55" s="62">
        <f>AVERAGE($F$55:$J$55)</f>
        <v>5.2261086778415809E-2</v>
      </c>
      <c r="L55" s="62">
        <f t="shared" ref="L55:O55" si="68">AVERAGE($F$55:$J$55)</f>
        <v>5.2261086778415809E-2</v>
      </c>
      <c r="M55" s="62">
        <f t="shared" si="68"/>
        <v>5.2261086778415809E-2</v>
      </c>
      <c r="N55" s="62">
        <f t="shared" si="68"/>
        <v>5.2261086778415809E-2</v>
      </c>
      <c r="O55" s="62">
        <f t="shared" si="68"/>
        <v>5.2261086778415809E-2</v>
      </c>
    </row>
    <row r="56" spans="1:18" x14ac:dyDescent="0.3">
      <c r="B56" t="s">
        <v>81</v>
      </c>
      <c r="E56" s="7" t="s">
        <v>14</v>
      </c>
      <c r="F56" s="46">
        <f>'Data Sheet'!G56</f>
        <v>27.734099999999998</v>
      </c>
      <c r="G56" s="46">
        <f>'Data Sheet'!H56</f>
        <v>23.447700000000001</v>
      </c>
      <c r="H56" s="46">
        <f>'Data Sheet'!I56</f>
        <v>16.7178</v>
      </c>
      <c r="I56" s="46">
        <f>'Data Sheet'!J56</f>
        <v>34.2682</v>
      </c>
      <c r="J56" s="46">
        <f>'Data Sheet'!K56</f>
        <v>54.322299999999998</v>
      </c>
      <c r="K56" s="60">
        <f>K57*K$40</f>
        <v>33.189327369233759</v>
      </c>
      <c r="L56" s="60">
        <f t="shared" ref="L56:O56" si="69">L57*L$40</f>
        <v>35.180687011387789</v>
      </c>
      <c r="M56" s="60">
        <f t="shared" si="69"/>
        <v>37.291528232071052</v>
      </c>
      <c r="N56" s="60">
        <f t="shared" si="69"/>
        <v>39.529019925995328</v>
      </c>
      <c r="O56" s="60">
        <f t="shared" si="69"/>
        <v>41.900761121555043</v>
      </c>
    </row>
    <row r="57" spans="1:18" s="55" customFormat="1" x14ac:dyDescent="0.3">
      <c r="D57" s="55" t="s">
        <v>73</v>
      </c>
      <c r="E57" s="79" t="s">
        <v>45</v>
      </c>
      <c r="F57" s="56">
        <f t="shared" ref="F57:I57" si="70">F56/F$40</f>
        <v>5.4837121247771538E-3</v>
      </c>
      <c r="G57" s="56">
        <f t="shared" si="70"/>
        <v>5.28497974797708E-3</v>
      </c>
      <c r="H57" s="56">
        <f t="shared" si="70"/>
        <v>3.5470820625703595E-3</v>
      </c>
      <c r="I57" s="56">
        <f t="shared" si="70"/>
        <v>6.3685947077524721E-3</v>
      </c>
      <c r="J57" s="56">
        <f>J56/J$40</f>
        <v>1.0991001154856043E-2</v>
      </c>
      <c r="K57" s="62">
        <f>AVERAGE($F$57:$J$57)</f>
        <v>6.3350739595866221E-3</v>
      </c>
      <c r="L57" s="62">
        <f t="shared" ref="L57:O57" si="71">AVERAGE($F$57:$J$57)</f>
        <v>6.3350739595866221E-3</v>
      </c>
      <c r="M57" s="62">
        <f t="shared" si="71"/>
        <v>6.3350739595866221E-3</v>
      </c>
      <c r="N57" s="62">
        <f t="shared" si="71"/>
        <v>6.3350739595866221E-3</v>
      </c>
      <c r="O57" s="62">
        <f t="shared" si="71"/>
        <v>6.3350739595866221E-3</v>
      </c>
    </row>
    <row r="58" spans="1:18" x14ac:dyDescent="0.3">
      <c r="B58" t="s">
        <v>32</v>
      </c>
      <c r="E58" s="7" t="s">
        <v>14</v>
      </c>
      <c r="F58" s="46">
        <f>'Data Sheet'!G67</f>
        <v>-100.04090000000001</v>
      </c>
      <c r="G58" s="46">
        <f>'Data Sheet'!H67</f>
        <v>0</v>
      </c>
      <c r="H58" s="46">
        <f>'Data Sheet'!I67</f>
        <v>0</v>
      </c>
      <c r="I58" s="46">
        <f>'Data Sheet'!J67</f>
        <v>180.45</v>
      </c>
      <c r="J58" s="46">
        <f>'Data Sheet'!K67</f>
        <v>42.091899999999995</v>
      </c>
      <c r="K58" s="60">
        <f>'Data Sheet'!L67</f>
        <v>0</v>
      </c>
      <c r="L58" s="60">
        <f>'Data Sheet'!M67</f>
        <v>0</v>
      </c>
      <c r="M58" s="60">
        <f>'Data Sheet'!N67</f>
        <v>0</v>
      </c>
      <c r="N58" s="60">
        <f>'Data Sheet'!O67</f>
        <v>0</v>
      </c>
      <c r="O58" s="60">
        <f>'Data Sheet'!P67</f>
        <v>0</v>
      </c>
    </row>
    <row r="59" spans="1:18" s="2" customFormat="1" x14ac:dyDescent="0.3">
      <c r="A59" s="6"/>
      <c r="B59" s="51" t="s">
        <v>82</v>
      </c>
      <c r="C59" s="51"/>
      <c r="D59" s="51"/>
      <c r="E59" s="80" t="s">
        <v>14</v>
      </c>
      <c r="F59" s="52">
        <f>F52-F54+F56+F58</f>
        <v>-68.406999999999812</v>
      </c>
      <c r="G59" s="52">
        <f t="shared" ref="G59:J59" si="72">G52-G54+G56+G58</f>
        <v>322.43650000000019</v>
      </c>
      <c r="H59" s="52">
        <f t="shared" si="72"/>
        <v>54.029000000000266</v>
      </c>
      <c r="I59" s="52">
        <f t="shared" si="72"/>
        <v>-406.90969999999953</v>
      </c>
      <c r="J59" s="52">
        <f t="shared" si="72"/>
        <v>-254.66580000000079</v>
      </c>
      <c r="K59" s="64">
        <f>K52-K54+K56+K58</f>
        <v>587.65223445038941</v>
      </c>
      <c r="L59" s="64">
        <f t="shared" ref="L59:O59" si="73">L52-L54+L56+L58</f>
        <v>622.91136851741317</v>
      </c>
      <c r="M59" s="64">
        <f t="shared" si="73"/>
        <v>660.28605062845793</v>
      </c>
      <c r="N59" s="64">
        <f t="shared" si="73"/>
        <v>699.90321366616581</v>
      </c>
      <c r="O59" s="64">
        <f t="shared" si="73"/>
        <v>741.89740648613508</v>
      </c>
    </row>
    <row r="60" spans="1:18" s="55" customFormat="1" x14ac:dyDescent="0.3">
      <c r="D60" s="55" t="s">
        <v>73</v>
      </c>
      <c r="E60" s="79" t="s">
        <v>45</v>
      </c>
      <c r="F60" s="56">
        <f>F59/F$40</f>
        <v>-1.3525742509027865E-2</v>
      </c>
      <c r="G60" s="56">
        <f t="shared" ref="G60:J60" si="74">G59/G$40</f>
        <v>7.2675374237499313E-2</v>
      </c>
      <c r="H60" s="56">
        <f t="shared" si="74"/>
        <v>1.1463547641353222E-2</v>
      </c>
      <c r="I60" s="56">
        <f t="shared" si="74"/>
        <v>-7.5622383491200096E-2</v>
      </c>
      <c r="J60" s="56">
        <f t="shared" si="74"/>
        <v>-5.1526391590605458E-2</v>
      </c>
      <c r="K60" s="68">
        <f t="shared" ref="K60" si="75">K59/K$11</f>
        <v>7.5012151940043095E-3</v>
      </c>
      <c r="L60" s="68">
        <f t="shared" ref="L60:O60" si="76">L59/L$11</f>
        <v>6.9667461075278714E-3</v>
      </c>
      <c r="M60" s="68">
        <f t="shared" si="76"/>
        <v>6.4703584781235154E-3</v>
      </c>
      <c r="N60" s="68">
        <f t="shared" si="76"/>
        <v>6.0093389638797576E-3</v>
      </c>
      <c r="O60" s="68">
        <f t="shared" si="76"/>
        <v>5.5811675512106038E-3</v>
      </c>
    </row>
    <row r="61" spans="1:18" x14ac:dyDescent="0.3">
      <c r="B61" t="s">
        <v>83</v>
      </c>
      <c r="E61" s="7" t="s">
        <v>14</v>
      </c>
      <c r="F61" s="46">
        <f>'Data Sheet'!G69</f>
        <v>-32.8996</v>
      </c>
      <c r="G61" s="46">
        <f>'Data Sheet'!H69</f>
        <v>100.66680000000001</v>
      </c>
      <c r="H61" s="46">
        <f>'Data Sheet'!I69</f>
        <v>15.045499999999999</v>
      </c>
      <c r="I61" s="46">
        <f>'Data Sheet'!J69</f>
        <v>-218.35759999999999</v>
      </c>
      <c r="J61" s="46">
        <f>'Data Sheet'!K69</f>
        <v>-52.149899999999995</v>
      </c>
      <c r="K61" s="60">
        <f>K59*K62</f>
        <v>213.08487524586445</v>
      </c>
      <c r="L61" s="60">
        <f t="shared" ref="L61:O61" si="77">L59*L62</f>
        <v>225.86996776061645</v>
      </c>
      <c r="M61" s="60">
        <f t="shared" si="77"/>
        <v>239.42216582625343</v>
      </c>
      <c r="N61" s="60">
        <f t="shared" si="77"/>
        <v>253.78749577582877</v>
      </c>
      <c r="O61" s="60">
        <f t="shared" si="77"/>
        <v>269.01474552237829</v>
      </c>
    </row>
    <row r="62" spans="1:18" s="58" customFormat="1" x14ac:dyDescent="0.3">
      <c r="D62" s="58" t="s">
        <v>84</v>
      </c>
      <c r="E62" s="79" t="s">
        <v>45</v>
      </c>
      <c r="F62" s="57">
        <f>F61/F59</f>
        <v>0.48093908518134243</v>
      </c>
      <c r="G62" s="57">
        <f t="shared" ref="G62:J62" si="78">G61/G59</f>
        <v>0.3122065895145244</v>
      </c>
      <c r="H62" s="57">
        <f t="shared" si="78"/>
        <v>0.27847082122563671</v>
      </c>
      <c r="I62" s="57">
        <f t="shared" si="78"/>
        <v>0.53662421908349744</v>
      </c>
      <c r="J62" s="57">
        <f t="shared" si="78"/>
        <v>0.20477779112860789</v>
      </c>
      <c r="K62" s="68">
        <f>AVERAGE($F$62:$J$62)</f>
        <v>0.36260370122672175</v>
      </c>
      <c r="L62" s="68">
        <f t="shared" ref="L62:O62" si="79">AVERAGE($F$62:$J$62)</f>
        <v>0.36260370122672175</v>
      </c>
      <c r="M62" s="68">
        <f t="shared" si="79"/>
        <v>0.36260370122672175</v>
      </c>
      <c r="N62" s="68">
        <f t="shared" si="79"/>
        <v>0.36260370122672175</v>
      </c>
      <c r="O62" s="68">
        <f t="shared" si="79"/>
        <v>0.36260370122672175</v>
      </c>
    </row>
    <row r="63" spans="1:18" s="2" customFormat="1" ht="15.75" customHeight="1" x14ac:dyDescent="0.3">
      <c r="A63" s="6"/>
      <c r="B63" s="53" t="s">
        <v>85</v>
      </c>
      <c r="C63" s="53"/>
      <c r="D63" s="53"/>
      <c r="E63" s="81" t="s">
        <v>14</v>
      </c>
      <c r="F63" s="54">
        <f>F59-F61</f>
        <v>-35.507399999999812</v>
      </c>
      <c r="G63" s="54">
        <f t="shared" ref="G63:J63" si="80">G59-G61</f>
        <v>221.76970000000017</v>
      </c>
      <c r="H63" s="54">
        <f t="shared" si="80"/>
        <v>38.983500000000269</v>
      </c>
      <c r="I63" s="54">
        <f t="shared" si="80"/>
        <v>-188.55209999999954</v>
      </c>
      <c r="J63" s="54">
        <f t="shared" si="80"/>
        <v>-202.51590000000078</v>
      </c>
      <c r="K63" s="73">
        <f>K59-K61</f>
        <v>374.56735920452496</v>
      </c>
      <c r="L63" s="73">
        <f t="shared" ref="L63:O63" si="81">L59-L61</f>
        <v>397.04140075679675</v>
      </c>
      <c r="M63" s="73">
        <f t="shared" si="81"/>
        <v>420.8638848022045</v>
      </c>
      <c r="N63" s="73">
        <f t="shared" si="81"/>
        <v>446.11571789033701</v>
      </c>
      <c r="O63" s="73">
        <f t="shared" si="81"/>
        <v>472.88266096375679</v>
      </c>
    </row>
    <row r="64" spans="1:18" x14ac:dyDescent="0.3">
      <c r="D64" s="55"/>
      <c r="E64" s="7"/>
      <c r="G64" s="93"/>
      <c r="H64" s="93"/>
      <c r="I64" s="93"/>
      <c r="J64" s="93"/>
      <c r="K64" s="93"/>
      <c r="L64" s="93"/>
      <c r="M64" s="93"/>
      <c r="N64" s="93"/>
      <c r="O64" s="93"/>
    </row>
    <row r="65" spans="5:11" x14ac:dyDescent="0.3">
      <c r="E65" s="7"/>
      <c r="K65" s="118"/>
    </row>
  </sheetData>
  <mergeCells count="1">
    <mergeCell ref="B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8F21-F78A-42AD-A44A-4221FA0A913F}">
  <dimension ref="A1:L21"/>
  <sheetViews>
    <sheetView showGridLines="0" workbookViewId="0">
      <pane xSplit="5" ySplit="1" topLeftCell="F5" activePane="bottomRight" state="frozen"/>
      <selection pane="topRight" activeCell="F1" sqref="F1"/>
      <selection pane="bottomLeft" activeCell="A2" sqref="A2"/>
      <selection pane="bottomRight" activeCell="Q18" sqref="Q18"/>
    </sheetView>
  </sheetViews>
  <sheetFormatPr defaultRowHeight="14.4" x14ac:dyDescent="0.3"/>
  <cols>
    <col min="1" max="3" width="3" customWidth="1"/>
    <col min="4" max="4" width="36.33203125" customWidth="1"/>
    <col min="5" max="5" width="5.77734375" style="90" bestFit="1" customWidth="1"/>
    <col min="6" max="6" width="10.109375" bestFit="1" customWidth="1"/>
    <col min="7" max="18" width="10.77734375" customWidth="1"/>
  </cols>
  <sheetData>
    <row r="1" spans="1:12" s="85" customFormat="1" ht="43.8" customHeight="1" x14ac:dyDescent="0.3">
      <c r="A1" s="84" t="s">
        <v>97</v>
      </c>
      <c r="E1" s="74" t="s">
        <v>98</v>
      </c>
      <c r="F1" s="86"/>
      <c r="G1" s="87" t="s">
        <v>69</v>
      </c>
      <c r="H1" s="88" t="s">
        <v>99</v>
      </c>
    </row>
    <row r="2" spans="1:12" x14ac:dyDescent="0.3">
      <c r="H2" s="89"/>
    </row>
    <row r="3" spans="1:12" x14ac:dyDescent="0.3">
      <c r="A3" s="2" t="s">
        <v>100</v>
      </c>
    </row>
    <row r="4" spans="1:12" x14ac:dyDescent="0.3">
      <c r="B4" t="s">
        <v>101</v>
      </c>
      <c r="E4" s="90" t="s">
        <v>5</v>
      </c>
      <c r="G4" s="27">
        <f>'Data Sheet'!F4</f>
        <v>9901.35</v>
      </c>
      <c r="H4" s="27">
        <f>'Data Sheet'!F47</f>
        <v>204.55</v>
      </c>
      <c r="J4" s="27"/>
    </row>
    <row r="5" spans="1:12" x14ac:dyDescent="0.3">
      <c r="B5" t="s">
        <v>102</v>
      </c>
    </row>
    <row r="6" spans="1:12" x14ac:dyDescent="0.3">
      <c r="C6" t="s">
        <v>7</v>
      </c>
      <c r="E6" s="90" t="s">
        <v>125</v>
      </c>
      <c r="G6" s="27">
        <f>'Data Sheet'!F6</f>
        <v>28.818791600000001</v>
      </c>
      <c r="H6" s="27">
        <f>'Data Sheet'!F49</f>
        <v>30.9897201</v>
      </c>
    </row>
    <row r="7" spans="1:12" x14ac:dyDescent="0.3">
      <c r="C7" t="s">
        <v>103</v>
      </c>
      <c r="E7" s="90" t="s">
        <v>125</v>
      </c>
      <c r="G7" s="27">
        <f>ROUND(('Option Rollover'!F10/10^6),6)</f>
        <v>4.3299999999999996E-3</v>
      </c>
    </row>
    <row r="8" spans="1:12" x14ac:dyDescent="0.3">
      <c r="B8" t="s">
        <v>113</v>
      </c>
      <c r="E8" s="90" t="s">
        <v>125</v>
      </c>
      <c r="G8" s="27">
        <f>SUM(G6:G7)</f>
        <v>28.8231216</v>
      </c>
      <c r="H8" s="27">
        <f>SUM(H6:H7)</f>
        <v>30.9897201</v>
      </c>
    </row>
    <row r="9" spans="1:12" x14ac:dyDescent="0.3">
      <c r="G9" s="27"/>
      <c r="H9" s="91"/>
    </row>
    <row r="10" spans="1:12" x14ac:dyDescent="0.3">
      <c r="A10" s="2" t="s">
        <v>46</v>
      </c>
      <c r="G10" s="94">
        <v>0</v>
      </c>
      <c r="H10" s="94">
        <v>0.1</v>
      </c>
      <c r="I10" s="94">
        <v>0.2</v>
      </c>
      <c r="J10" s="94">
        <v>0.3</v>
      </c>
      <c r="K10" s="94">
        <v>0.4</v>
      </c>
      <c r="L10" s="94">
        <v>0.5</v>
      </c>
    </row>
    <row r="11" spans="1:12" x14ac:dyDescent="0.3">
      <c r="B11" t="s">
        <v>114</v>
      </c>
      <c r="E11" s="90" t="s">
        <v>5</v>
      </c>
      <c r="G11" s="70">
        <f>$H$4*(1+G$10)</f>
        <v>204.55</v>
      </c>
      <c r="H11" s="70">
        <f t="shared" ref="H11:L11" si="0">$H$4*(1+H$10)</f>
        <v>225.00500000000002</v>
      </c>
      <c r="I11" s="70">
        <f t="shared" si="0"/>
        <v>245.46</v>
      </c>
      <c r="J11" s="70">
        <f>$H$4*(1+J$10)</f>
        <v>265.91500000000002</v>
      </c>
      <c r="K11" s="70">
        <f t="shared" si="0"/>
        <v>286.37</v>
      </c>
      <c r="L11" s="70">
        <f t="shared" si="0"/>
        <v>306.82500000000005</v>
      </c>
    </row>
    <row r="12" spans="1:12" x14ac:dyDescent="0.3">
      <c r="B12" t="s">
        <v>115</v>
      </c>
      <c r="E12" s="90" t="s">
        <v>14</v>
      </c>
      <c r="G12" s="70">
        <f>G11*$H$8</f>
        <v>6338.9472464549999</v>
      </c>
      <c r="H12" s="70">
        <f t="shared" ref="H12:L12" si="1">H11*$H$8</f>
        <v>6972.8419711005008</v>
      </c>
      <c r="I12" s="70">
        <f t="shared" si="1"/>
        <v>7606.7366957459999</v>
      </c>
      <c r="J12" s="70">
        <f t="shared" si="1"/>
        <v>8240.6314203915008</v>
      </c>
      <c r="K12" s="70">
        <f t="shared" si="1"/>
        <v>8874.5261450369999</v>
      </c>
      <c r="L12" s="70">
        <f t="shared" si="1"/>
        <v>9508.4208696825008</v>
      </c>
    </row>
    <row r="13" spans="1:12" x14ac:dyDescent="0.3">
      <c r="B13" t="s">
        <v>116</v>
      </c>
      <c r="E13" s="90" t="s">
        <v>14</v>
      </c>
      <c r="G13" s="70">
        <f>G12+'Data Sheet'!F74-'Data Sheet'!F73</f>
        <v>10223.392646455</v>
      </c>
      <c r="H13" s="70">
        <f>H12+'Data Sheet'!G74-'Data Sheet'!G73</f>
        <v>6972.8419711005008</v>
      </c>
      <c r="I13" s="70">
        <f>I12+'Data Sheet'!H74-'Data Sheet'!H73</f>
        <v>7606.7366957459999</v>
      </c>
      <c r="J13" s="70">
        <f>J12+'Data Sheet'!I74-'Data Sheet'!I73</f>
        <v>8240.6314203915008</v>
      </c>
      <c r="K13" s="70">
        <f>K12+'Data Sheet'!J74-'Data Sheet'!J73</f>
        <v>8874.5261450369999</v>
      </c>
      <c r="L13" s="70">
        <f>L12+'Data Sheet'!K74-'Data Sheet'!K73</f>
        <v>9508.4208696825008</v>
      </c>
    </row>
    <row r="14" spans="1:12" x14ac:dyDescent="0.3">
      <c r="B14" t="s">
        <v>117</v>
      </c>
      <c r="E14" s="90" t="s">
        <v>125</v>
      </c>
      <c r="G14" s="70">
        <f>ROUND((G12*(1-'Data Sheet'!$F$80)/Plan!$G$4),6)</f>
        <v>0.25608399999999998</v>
      </c>
      <c r="H14" s="70">
        <f>ROUND((H12*(1-'Data Sheet'!$F$80)/Plan!$G$4),6)</f>
        <v>0.28169300000000003</v>
      </c>
      <c r="I14" s="70">
        <f>ROUND((I12*(1-'Data Sheet'!$F$80)/Plan!$G$4),6)</f>
        <v>0.30730099999999999</v>
      </c>
      <c r="J14" s="70">
        <f>ROUND((J12*(1-'Data Sheet'!$F$80)/Plan!$G$4),6)</f>
        <v>0.33290900000000001</v>
      </c>
      <c r="K14" s="70">
        <f>ROUND((K12*(1-'Data Sheet'!$F$80)/Plan!$G$4),6)</f>
        <v>0.358518</v>
      </c>
      <c r="L14" s="70">
        <f>ROUND((L12*(1-'Data Sheet'!$F$80)/Plan!$G$4),6)</f>
        <v>0.38412600000000002</v>
      </c>
    </row>
    <row r="15" spans="1:12" x14ac:dyDescent="0.3">
      <c r="B15" t="s">
        <v>118</v>
      </c>
      <c r="E15" s="90" t="s">
        <v>125</v>
      </c>
      <c r="G15" s="70">
        <f>$G$8+G14</f>
        <v>29.079205600000002</v>
      </c>
      <c r="H15" s="70">
        <f t="shared" ref="H15:L15" si="2">$G$8+H14</f>
        <v>29.104814600000001</v>
      </c>
      <c r="I15" s="70">
        <f t="shared" si="2"/>
        <v>29.130422599999999</v>
      </c>
      <c r="J15" s="70">
        <f t="shared" si="2"/>
        <v>29.156030600000001</v>
      </c>
      <c r="K15" s="70">
        <f t="shared" si="2"/>
        <v>29.1816396</v>
      </c>
      <c r="L15" s="70">
        <f t="shared" si="2"/>
        <v>29.207247599999999</v>
      </c>
    </row>
    <row r="16" spans="1:12" x14ac:dyDescent="0.3">
      <c r="B16" t="s">
        <v>119</v>
      </c>
      <c r="E16" s="90" t="s">
        <v>45</v>
      </c>
      <c r="G16" s="98">
        <f>G14/G15</f>
        <v>8.8064303929953295E-3</v>
      </c>
      <c r="H16" s="98">
        <f t="shared" ref="H16:L16" si="3">H14/H15</f>
        <v>9.678570500153607E-3</v>
      </c>
      <c r="I16" s="98">
        <f t="shared" si="3"/>
        <v>1.0549143217716312E-2</v>
      </c>
      <c r="J16" s="98">
        <f t="shared" si="3"/>
        <v>1.1418186671816705E-2</v>
      </c>
      <c r="K16" s="98">
        <f t="shared" si="3"/>
        <v>1.2285738735530131E-2</v>
      </c>
      <c r="L16" s="98">
        <f t="shared" si="3"/>
        <v>1.3151735667143111E-2</v>
      </c>
    </row>
    <row r="18" spans="1:12" x14ac:dyDescent="0.3">
      <c r="A18" s="2" t="s">
        <v>120</v>
      </c>
    </row>
    <row r="19" spans="1:12" x14ac:dyDescent="0.3">
      <c r="B19" t="s">
        <v>121</v>
      </c>
      <c r="G19" s="27">
        <f>(G11/$G$4)</f>
        <v>2.0658799052654435E-2</v>
      </c>
      <c r="H19" s="27">
        <f t="shared" ref="H19:L19" si="4">H11/$G$4</f>
        <v>2.272467895791988E-2</v>
      </c>
      <c r="I19" s="27">
        <f t="shared" si="4"/>
        <v>2.4790558863185323E-2</v>
      </c>
      <c r="J19" s="27">
        <f t="shared" si="4"/>
        <v>2.6856438768450768E-2</v>
      </c>
      <c r="K19" s="27">
        <f t="shared" si="4"/>
        <v>2.892231867371621E-2</v>
      </c>
      <c r="L19" s="27">
        <f t="shared" si="4"/>
        <v>3.0988198578981656E-2</v>
      </c>
    </row>
    <row r="20" spans="1:12" x14ac:dyDescent="0.3">
      <c r="B20" t="s">
        <v>122</v>
      </c>
      <c r="G20" s="95">
        <f>G13/IS!$J$40</f>
        <v>2.0684934250525786</v>
      </c>
      <c r="H20" s="95">
        <f>H13/IS!$J$40</f>
        <v>1.4108112903355399</v>
      </c>
      <c r="I20" s="95">
        <f>I13/IS!$J$40</f>
        <v>1.5390668621842249</v>
      </c>
      <c r="J20" s="95">
        <f>J13/IS!$J$40</f>
        <v>1.6673224340329107</v>
      </c>
      <c r="K20" s="95">
        <f>K13/IS!$J$40</f>
        <v>1.7955780058815958</v>
      </c>
      <c r="L20" s="95">
        <f>L13/IS!$J$40</f>
        <v>1.9238335777302815</v>
      </c>
    </row>
    <row r="21" spans="1:12" x14ac:dyDescent="0.3">
      <c r="B21" t="s">
        <v>123</v>
      </c>
      <c r="G21" s="27">
        <f>G13/IS!$J$48</f>
        <v>93.805502100794371</v>
      </c>
      <c r="H21" s="27">
        <f>H13/IS!$J$48</f>
        <v>63.979831821815395</v>
      </c>
      <c r="I21" s="27">
        <f>I13/IS!$J$48</f>
        <v>69.796180169253148</v>
      </c>
      <c r="J21" s="27">
        <f>J13/IS!$J$48</f>
        <v>75.612528516690915</v>
      </c>
      <c r="K21" s="27">
        <f>K13/IS!$J$48</f>
        <v>81.428876864128668</v>
      </c>
      <c r="L21" s="27">
        <f>L13/IS!$J$48</f>
        <v>87.245225211566449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5AD2-4673-4E8A-94A5-CA7A90E84504}">
  <dimension ref="A1:L20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7" sqref="G7"/>
    </sheetView>
  </sheetViews>
  <sheetFormatPr defaultRowHeight="14.4" x14ac:dyDescent="0.3"/>
  <cols>
    <col min="1" max="3" width="3" customWidth="1"/>
    <col min="4" max="4" width="39.21875" customWidth="1"/>
    <col min="5" max="5" width="6.77734375" style="7" bestFit="1" customWidth="1"/>
    <col min="6" max="15" width="10.77734375" customWidth="1"/>
  </cols>
  <sheetData>
    <row r="1" spans="1:12" s="1" customFormat="1" ht="29.4" customHeight="1" x14ac:dyDescent="0.3">
      <c r="A1" s="84" t="s">
        <v>149</v>
      </c>
      <c r="E1" s="12" t="s">
        <v>1</v>
      </c>
    </row>
    <row r="3" spans="1:12" x14ac:dyDescent="0.3">
      <c r="A3" s="2" t="s">
        <v>100</v>
      </c>
    </row>
    <row r="4" spans="1:12" x14ac:dyDescent="0.3">
      <c r="B4" t="s">
        <v>132</v>
      </c>
      <c r="E4" s="7" t="s">
        <v>45</v>
      </c>
      <c r="F4" s="99">
        <f>'Data Sheet'!K24/'Data Sheet'!F38</f>
        <v>3.7673557838994648E-2</v>
      </c>
    </row>
    <row r="5" spans="1:12" x14ac:dyDescent="0.3">
      <c r="B5" t="s">
        <v>133</v>
      </c>
      <c r="E5" s="7" t="s">
        <v>45</v>
      </c>
      <c r="F5" s="93">
        <v>0.3</v>
      </c>
    </row>
    <row r="7" spans="1:12" x14ac:dyDescent="0.3">
      <c r="A7" s="2" t="s">
        <v>46</v>
      </c>
      <c r="G7" s="101">
        <v>0</v>
      </c>
      <c r="H7" s="101">
        <v>0.1</v>
      </c>
      <c r="I7" s="101">
        <v>0.2</v>
      </c>
      <c r="J7" s="101">
        <v>0.3</v>
      </c>
      <c r="K7" s="101">
        <v>0.4</v>
      </c>
      <c r="L7" s="101">
        <v>0.5</v>
      </c>
    </row>
    <row r="8" spans="1:12" x14ac:dyDescent="0.3">
      <c r="B8" t="s">
        <v>134</v>
      </c>
      <c r="E8" s="7" t="s">
        <v>14</v>
      </c>
      <c r="G8" s="95">
        <f>Plan!G12*'Data Sheet'!$F$80</f>
        <v>3803.3683478729999</v>
      </c>
      <c r="H8" s="95">
        <f>Plan!H12*'Data Sheet'!$F$80</f>
        <v>4183.7051826603001</v>
      </c>
      <c r="I8" s="95">
        <f>Plan!I12*'Data Sheet'!$F$80</f>
        <v>4564.0420174475994</v>
      </c>
      <c r="J8" s="95">
        <f>Plan!J12*'Data Sheet'!$F$80</f>
        <v>4944.3788522349005</v>
      </c>
      <c r="K8" s="95">
        <f>Plan!K12*'Data Sheet'!$F$80</f>
        <v>5324.7156870221997</v>
      </c>
      <c r="L8" s="95">
        <f>Plan!L12*'Data Sheet'!$F$80</f>
        <v>5705.0525218094999</v>
      </c>
    </row>
    <row r="9" spans="1:12" x14ac:dyDescent="0.3">
      <c r="B9" t="s">
        <v>135</v>
      </c>
      <c r="E9" s="7" t="s">
        <v>14</v>
      </c>
      <c r="G9" s="95">
        <f>Plan!G$12*('Data Sheet'!$F$83+'Data Sheet'!$F$85)</f>
        <v>126.77894492910001</v>
      </c>
      <c r="H9" s="95">
        <f>Plan!H$12*('Data Sheet'!$F$83+'Data Sheet'!$F$85)</f>
        <v>139.45683942201001</v>
      </c>
      <c r="I9" s="95">
        <f>Plan!I$12*('Data Sheet'!$F$83+'Data Sheet'!$F$85)</f>
        <v>152.13473391491999</v>
      </c>
      <c r="J9" s="95">
        <f>Plan!J$12*('Data Sheet'!$F$83+'Data Sheet'!$F$85)</f>
        <v>164.81262840783003</v>
      </c>
      <c r="K9" s="95">
        <f>Plan!K$12*('Data Sheet'!$F$83+'Data Sheet'!$F$85)</f>
        <v>177.49052290073999</v>
      </c>
      <c r="L9" s="95">
        <f>Plan!L$12*('Data Sheet'!$F$83+'Data Sheet'!$F$85)</f>
        <v>190.16841739365003</v>
      </c>
    </row>
    <row r="10" spans="1:12" x14ac:dyDescent="0.3">
      <c r="B10" t="s">
        <v>136</v>
      </c>
    </row>
    <row r="11" spans="1:12" x14ac:dyDescent="0.3">
      <c r="C11" t="s">
        <v>137</v>
      </c>
      <c r="E11" s="7" t="s">
        <v>14</v>
      </c>
      <c r="G11" s="27">
        <f>'Data Sheet'!$F$73</f>
        <v>13.560699999999999</v>
      </c>
      <c r="H11" s="27">
        <f>'Data Sheet'!$F$73</f>
        <v>13.560699999999999</v>
      </c>
      <c r="I11" s="27">
        <f>'Data Sheet'!$F$73</f>
        <v>13.560699999999999</v>
      </c>
      <c r="J11" s="27">
        <f>'Data Sheet'!$F$73</f>
        <v>13.560699999999999</v>
      </c>
      <c r="K11" s="27">
        <f>'Data Sheet'!$F$73</f>
        <v>13.560699999999999</v>
      </c>
      <c r="L11" s="27">
        <f>'Data Sheet'!$F$73</f>
        <v>13.560699999999999</v>
      </c>
    </row>
    <row r="12" spans="1:12" x14ac:dyDescent="0.3">
      <c r="C12" t="s">
        <v>138</v>
      </c>
      <c r="E12" s="7" t="s">
        <v>14</v>
      </c>
      <c r="G12">
        <f>'Data Sheet'!$F$37*'Data Sheet'!$F$42</f>
        <v>308.20000000000005</v>
      </c>
      <c r="H12">
        <f>'Data Sheet'!$F$37*'Data Sheet'!$F$42</f>
        <v>308.20000000000005</v>
      </c>
      <c r="I12">
        <f>'Data Sheet'!$F$37*'Data Sheet'!$F$42</f>
        <v>308.20000000000005</v>
      </c>
      <c r="J12">
        <f>'Data Sheet'!$F$37*'Data Sheet'!$F$42</f>
        <v>308.20000000000005</v>
      </c>
      <c r="K12">
        <f>'Data Sheet'!$F$37*'Data Sheet'!$F$42</f>
        <v>308.20000000000005</v>
      </c>
      <c r="L12">
        <f>'Data Sheet'!$F$37*'Data Sheet'!$F$42</f>
        <v>308.20000000000005</v>
      </c>
    </row>
    <row r="13" spans="1:12" s="2" customFormat="1" x14ac:dyDescent="0.3">
      <c r="B13" s="2" t="s">
        <v>139</v>
      </c>
      <c r="E13" s="7" t="s">
        <v>14</v>
      </c>
      <c r="G13" s="102">
        <f>SUM(G8:G9)-SUM(G11:G12)</f>
        <v>3608.3865928020996</v>
      </c>
      <c r="H13" s="102">
        <f t="shared" ref="H13:L13" si="0">SUM(H8:H9)-SUM(H11:H12)</f>
        <v>4001.4013220823099</v>
      </c>
      <c r="I13" s="102">
        <f t="shared" si="0"/>
        <v>4394.4160513625193</v>
      </c>
      <c r="J13" s="102">
        <f t="shared" si="0"/>
        <v>4787.4307806427305</v>
      </c>
      <c r="K13" s="102">
        <f t="shared" si="0"/>
        <v>5180.4455099229399</v>
      </c>
      <c r="L13" s="102">
        <f t="shared" si="0"/>
        <v>5573.4602392031502</v>
      </c>
    </row>
    <row r="14" spans="1:12" x14ac:dyDescent="0.3">
      <c r="B14" t="s">
        <v>140</v>
      </c>
      <c r="E14" s="7" t="s">
        <v>14</v>
      </c>
      <c r="G14" s="27">
        <f>G13</f>
        <v>3608.3865928020996</v>
      </c>
      <c r="H14" s="27">
        <f t="shared" ref="H14:L14" si="1">H13</f>
        <v>4001.4013220823099</v>
      </c>
      <c r="I14" s="27">
        <f t="shared" si="1"/>
        <v>4394.4160513625193</v>
      </c>
      <c r="J14" s="27">
        <f t="shared" si="1"/>
        <v>4787.4307806427305</v>
      </c>
      <c r="K14" s="27">
        <f t="shared" si="1"/>
        <v>5180.4455099229399</v>
      </c>
      <c r="L14" s="27">
        <f t="shared" si="1"/>
        <v>5573.4602392031502</v>
      </c>
    </row>
    <row r="15" spans="1:12" x14ac:dyDescent="0.3">
      <c r="B15" t="s">
        <v>141</v>
      </c>
      <c r="E15" s="7" t="s">
        <v>14</v>
      </c>
      <c r="G15" s="27">
        <f>G14*'Data Sheet'!$F$84</f>
        <v>72.167731856041996</v>
      </c>
      <c r="H15" s="27">
        <f>H14*'Data Sheet'!$F$84</f>
        <v>80.028026441646205</v>
      </c>
      <c r="I15" s="27">
        <f>I14*'Data Sheet'!$F$84</f>
        <v>87.888321027250385</v>
      </c>
      <c r="J15" s="27">
        <f>J14*'Data Sheet'!$F$84</f>
        <v>95.748615612854607</v>
      </c>
      <c r="K15" s="27">
        <f>K14*'Data Sheet'!$F$84</f>
        <v>103.6089101984588</v>
      </c>
      <c r="L15" s="27">
        <f>L14*'Data Sheet'!$F$84</f>
        <v>111.46920478406301</v>
      </c>
    </row>
    <row r="16" spans="1:12" x14ac:dyDescent="0.3">
      <c r="B16" t="s">
        <v>142</v>
      </c>
      <c r="E16" s="7" t="s">
        <v>14</v>
      </c>
      <c r="G16" s="27">
        <f>SUM(G14:G15)*$F$4</f>
        <v>138.65957622957038</v>
      </c>
      <c r="H16" s="27">
        <f t="shared" ref="H16:L16" si="2">SUM(H14:H15)*$F$4</f>
        <v>153.7619646273875</v>
      </c>
      <c r="I16" s="27">
        <f t="shared" si="2"/>
        <v>168.86435302520459</v>
      </c>
      <c r="J16" s="27">
        <f t="shared" si="2"/>
        <v>183.96674142302174</v>
      </c>
      <c r="K16" s="27">
        <f t="shared" si="2"/>
        <v>199.06912982083884</v>
      </c>
      <c r="L16" s="27">
        <f t="shared" si="2"/>
        <v>214.17151821865596</v>
      </c>
    </row>
    <row r="17" spans="2:12" x14ac:dyDescent="0.3">
      <c r="B17" t="s">
        <v>143</v>
      </c>
      <c r="E17" s="7" t="s">
        <v>14</v>
      </c>
      <c r="G17" s="27">
        <f>SUM(G11:G12)*'Data Sheet'!$F$86</f>
        <v>23.32765075</v>
      </c>
      <c r="H17" s="27">
        <f>SUM(H11:H12)*'Data Sheet'!$F$86</f>
        <v>23.32765075</v>
      </c>
      <c r="I17" s="27">
        <f>SUM(I11:I12)*'Data Sheet'!$F$86</f>
        <v>23.32765075</v>
      </c>
      <c r="J17" s="27">
        <f>SUM(J11:J12)*'Data Sheet'!$F$86</f>
        <v>23.32765075</v>
      </c>
      <c r="K17" s="27">
        <f>SUM(K11:K12)*'Data Sheet'!$F$86</f>
        <v>23.32765075</v>
      </c>
      <c r="L17" s="27">
        <f>SUM(L11:L12)*'Data Sheet'!$F$86</f>
        <v>23.32765075</v>
      </c>
    </row>
    <row r="18" spans="2:12" x14ac:dyDescent="0.3">
      <c r="B18" t="s">
        <v>144</v>
      </c>
      <c r="E18" s="7" t="s">
        <v>14</v>
      </c>
      <c r="G18" s="95">
        <f>SUM(G9,G15)/'Data Sheet'!$F$87</f>
        <v>39.789335357028406</v>
      </c>
      <c r="H18" s="95">
        <f>SUM(H9,H15)/'Data Sheet'!$F$87</f>
        <v>43.896973172731244</v>
      </c>
      <c r="I18" s="95">
        <f>SUM(I9,I15)/'Data Sheet'!$F$87</f>
        <v>48.004610988434074</v>
      </c>
      <c r="J18" s="95">
        <f>SUM(J9,J15)/'Data Sheet'!$F$87</f>
        <v>52.112248804136925</v>
      </c>
      <c r="K18" s="95">
        <f>SUM(K9,K15)/'Data Sheet'!$F$87</f>
        <v>56.219886619839755</v>
      </c>
      <c r="L18" s="95">
        <f>SUM(L9,L15)/'Data Sheet'!$F$87</f>
        <v>60.327524435542614</v>
      </c>
    </row>
    <row r="19" spans="2:12" s="2" customFormat="1" x14ac:dyDescent="0.3">
      <c r="B19" s="2" t="s">
        <v>146</v>
      </c>
      <c r="E19" s="7" t="s">
        <v>14</v>
      </c>
      <c r="G19" s="102">
        <f>SUM(G16:G18)</f>
        <v>201.77656233659877</v>
      </c>
      <c r="H19" s="102">
        <f t="shared" ref="H19:L19" si="3">SUM(H16:H18)</f>
        <v>220.98658855011874</v>
      </c>
      <c r="I19" s="102">
        <f t="shared" si="3"/>
        <v>240.19661476363868</v>
      </c>
      <c r="J19" s="102">
        <f t="shared" si="3"/>
        <v>259.40664097715865</v>
      </c>
      <c r="K19" s="102">
        <f t="shared" si="3"/>
        <v>278.61666719067858</v>
      </c>
      <c r="L19" s="102">
        <f t="shared" si="3"/>
        <v>297.82669340419858</v>
      </c>
    </row>
    <row r="20" spans="2:12" s="2" customFormat="1" x14ac:dyDescent="0.3">
      <c r="B20" s="2" t="s">
        <v>145</v>
      </c>
      <c r="E20" s="7" t="s">
        <v>14</v>
      </c>
      <c r="G20" s="102">
        <f>G19*(1-$F$5)</f>
        <v>141.24359363561913</v>
      </c>
      <c r="H20" s="102">
        <f t="shared" ref="H20:L20" si="4">H19*(1-$F$5)</f>
        <v>154.69061198508311</v>
      </c>
      <c r="I20" s="102">
        <f t="shared" si="4"/>
        <v>168.13763033454705</v>
      </c>
      <c r="J20" s="102">
        <f t="shared" si="4"/>
        <v>181.58464868401103</v>
      </c>
      <c r="K20" s="102">
        <f t="shared" si="4"/>
        <v>195.031667033475</v>
      </c>
      <c r="L20" s="102">
        <f t="shared" si="4"/>
        <v>208.47868538293901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5525-9EB3-41E8-8005-02B227736CC9}">
  <dimension ref="A1:L74"/>
  <sheetViews>
    <sheetView showGridLines="0" workbookViewId="0">
      <pane xSplit="5" ySplit="1" topLeftCell="F50" activePane="bottomRight" state="frozen"/>
      <selection pane="topRight" activeCell="F1" sqref="F1"/>
      <selection pane="bottomLeft" activeCell="A2" sqref="A2"/>
      <selection pane="bottomRight" activeCell="G66" sqref="G66:K66"/>
    </sheetView>
  </sheetViews>
  <sheetFormatPr defaultRowHeight="14.4" x14ac:dyDescent="0.3"/>
  <cols>
    <col min="1" max="3" width="3" customWidth="1"/>
    <col min="4" max="4" width="36" customWidth="1"/>
    <col min="5" max="5" width="6.77734375" style="7" bestFit="1" customWidth="1"/>
    <col min="6" max="6" width="11.109375" bestFit="1" customWidth="1"/>
    <col min="7" max="8" width="10.77734375" customWidth="1"/>
    <col min="9" max="10" width="11.33203125" bestFit="1" customWidth="1"/>
    <col min="11" max="11" width="12.6640625" bestFit="1" customWidth="1"/>
    <col min="12" max="15" width="10.77734375" customWidth="1"/>
  </cols>
  <sheetData>
    <row r="1" spans="1:12" s="136" customFormat="1" ht="29.4" customHeight="1" x14ac:dyDescent="0.3">
      <c r="A1" s="84" t="s">
        <v>148</v>
      </c>
      <c r="B1" s="1"/>
      <c r="C1" s="1"/>
      <c r="D1" s="1"/>
      <c r="E1" s="12" t="s">
        <v>1</v>
      </c>
      <c r="F1" s="12" t="s">
        <v>2</v>
      </c>
      <c r="G1" s="1"/>
      <c r="H1" s="1"/>
      <c r="I1" s="1"/>
      <c r="J1" s="1"/>
      <c r="K1" s="1"/>
    </row>
    <row r="3" spans="1:12" x14ac:dyDescent="0.3">
      <c r="A3" t="s">
        <v>69</v>
      </c>
    </row>
    <row r="4" spans="1:12" x14ac:dyDescent="0.3">
      <c r="B4" t="s">
        <v>102</v>
      </c>
      <c r="E4" s="7" t="s">
        <v>45</v>
      </c>
      <c r="F4" s="100">
        <f>'Data Sheet'!F41/('Data Sheet'!F38+'Data Sheet'!F41)</f>
        <v>0.71976584163800261</v>
      </c>
    </row>
    <row r="5" spans="1:12" x14ac:dyDescent="0.3">
      <c r="B5" t="s">
        <v>38</v>
      </c>
      <c r="E5" s="7" t="s">
        <v>45</v>
      </c>
      <c r="F5" s="100">
        <f>'Data Sheet'!F38/('Data Sheet'!F41+'Data Sheet'!F38)</f>
        <v>0.28023415836199739</v>
      </c>
    </row>
    <row r="6" spans="1:12" x14ac:dyDescent="0.3">
      <c r="C6" t="s">
        <v>204</v>
      </c>
    </row>
    <row r="7" spans="1:12" x14ac:dyDescent="0.3">
      <c r="C7" t="s">
        <v>102</v>
      </c>
      <c r="E7" s="7" t="s">
        <v>45</v>
      </c>
      <c r="F7" s="118">
        <f>'Data Sheet'!F90+('Data Sheet'!F91*('Data Sheet'!F89-'Data Sheet'!F90))</f>
        <v>0.17967966308012445</v>
      </c>
    </row>
    <row r="8" spans="1:12" x14ac:dyDescent="0.3">
      <c r="C8" t="s">
        <v>38</v>
      </c>
      <c r="E8" s="7" t="s">
        <v>45</v>
      </c>
      <c r="F8" s="100">
        <f>Finance!F4*(1-Finance!F5)</f>
        <v>2.6371490487296253E-2</v>
      </c>
    </row>
    <row r="9" spans="1:12" x14ac:dyDescent="0.3">
      <c r="C9" s="2" t="s">
        <v>205</v>
      </c>
      <c r="E9" s="7" t="s">
        <v>45</v>
      </c>
      <c r="F9" s="119">
        <f>F4*F7+F5*F8</f>
        <v>0.13671747636355741</v>
      </c>
    </row>
    <row r="10" spans="1:12" x14ac:dyDescent="0.3">
      <c r="C10" s="2"/>
      <c r="F10" s="119"/>
    </row>
    <row r="11" spans="1:12" x14ac:dyDescent="0.3">
      <c r="G11" s="7">
        <v>1</v>
      </c>
      <c r="H11" s="7">
        <v>2</v>
      </c>
      <c r="I11" s="7">
        <v>3</v>
      </c>
      <c r="J11" s="7">
        <v>4</v>
      </c>
      <c r="K11" s="7">
        <v>5</v>
      </c>
    </row>
    <row r="12" spans="1:12" x14ac:dyDescent="0.3">
      <c r="A12" s="2" t="s">
        <v>206</v>
      </c>
      <c r="G12" s="6" t="s">
        <v>63</v>
      </c>
      <c r="H12" s="6" t="s">
        <v>64</v>
      </c>
      <c r="I12" s="6" t="s">
        <v>65</v>
      </c>
      <c r="J12" s="6" t="s">
        <v>66</v>
      </c>
      <c r="K12" s="6" t="s">
        <v>67</v>
      </c>
      <c r="L12" s="6" t="s">
        <v>241</v>
      </c>
    </row>
    <row r="13" spans="1:12" x14ac:dyDescent="0.3">
      <c r="B13" t="s">
        <v>207</v>
      </c>
    </row>
    <row r="14" spans="1:12" x14ac:dyDescent="0.3">
      <c r="C14" t="s">
        <v>159</v>
      </c>
      <c r="E14" s="7" t="s">
        <v>14</v>
      </c>
      <c r="G14" s="46">
        <f>IS!K11</f>
        <v>78340.938001631715</v>
      </c>
      <c r="H14" s="46">
        <f>IS!L11</f>
        <v>89412.095532565829</v>
      </c>
      <c r="I14" s="46">
        <f>IS!M11</f>
        <v>102047.83133127875</v>
      </c>
      <c r="J14" s="46">
        <f>IS!N11</f>
        <v>116469.25192156133</v>
      </c>
      <c r="K14" s="46">
        <f>IS!O11</f>
        <v>132928.7106467913</v>
      </c>
      <c r="L14" s="100">
        <f>((K14/G14)^(1/($K$11-$G$11)))-1</f>
        <v>0.14132020643796128</v>
      </c>
    </row>
    <row r="15" spans="1:12" x14ac:dyDescent="0.3">
      <c r="C15" t="s">
        <v>173</v>
      </c>
      <c r="E15" s="7" t="s">
        <v>14</v>
      </c>
      <c r="G15" s="46">
        <f>IS!K40</f>
        <v>5238.9802520000003</v>
      </c>
      <c r="H15" s="46">
        <f>IS!L40</f>
        <v>5553.3190671200009</v>
      </c>
      <c r="I15" s="46">
        <f>IS!M40</f>
        <v>5886.5182111472004</v>
      </c>
      <c r="J15" s="46">
        <f>IS!N40</f>
        <v>6239.7093038160338</v>
      </c>
      <c r="K15" s="46">
        <f>IS!O40</f>
        <v>6614.0918620449957</v>
      </c>
      <c r="L15" s="100">
        <f t="shared" ref="L15:L67" si="0">((K15/G15)^(1/($K$11-$G$11)))-1</f>
        <v>6.0000000000000053E-2</v>
      </c>
    </row>
    <row r="16" spans="1:12" x14ac:dyDescent="0.3">
      <c r="C16" t="s">
        <v>208</v>
      </c>
      <c r="E16" s="7" t="s">
        <v>14</v>
      </c>
      <c r="G16" s="46">
        <f>SUM(G14:G15)</f>
        <v>83579.918253631709</v>
      </c>
      <c r="H16" s="46">
        <f>SUM(H14:H15)</f>
        <v>94965.414599685828</v>
      </c>
      <c r="I16" s="46">
        <f t="shared" ref="I16:K16" si="1">SUM(I14:I15)</f>
        <v>107934.34954242595</v>
      </c>
      <c r="J16" s="46">
        <f t="shared" si="1"/>
        <v>122708.96122537737</v>
      </c>
      <c r="K16" s="46">
        <f t="shared" si="1"/>
        <v>139542.80250883629</v>
      </c>
      <c r="L16" s="100">
        <f t="shared" si="0"/>
        <v>0.13671443402748684</v>
      </c>
    </row>
    <row r="17" spans="2:12" x14ac:dyDescent="0.3">
      <c r="C17" t="s">
        <v>209</v>
      </c>
      <c r="E17" s="7" t="s">
        <v>14</v>
      </c>
      <c r="G17" s="46">
        <f>G14+(G15*(1+'Data Sheet'!G94))</f>
        <v>83737.087661191719</v>
      </c>
      <c r="H17" s="46">
        <f>H14+(H15*(1+'Data Sheet'!H94))</f>
        <v>95243.080553041829</v>
      </c>
      <c r="I17" s="46">
        <f>I14+(I15*(1+'Data Sheet'!I94))</f>
        <v>108346.40581720625</v>
      </c>
      <c r="J17" s="46">
        <f>J14+(J15*(1+'Data Sheet'!J94))</f>
        <v>123270.53506272081</v>
      </c>
      <c r="K17" s="46">
        <f>K14+(K15*(1+'Data Sheet'!K94))</f>
        <v>140270.35261366123</v>
      </c>
      <c r="L17" s="100">
        <f t="shared" si="0"/>
        <v>0.13765874395078037</v>
      </c>
    </row>
    <row r="18" spans="2:12" x14ac:dyDescent="0.3">
      <c r="B18" t="s">
        <v>210</v>
      </c>
      <c r="G18" s="46"/>
      <c r="H18" s="46"/>
      <c r="I18" s="46"/>
      <c r="J18" s="46"/>
      <c r="K18" s="46"/>
      <c r="L18" s="100"/>
    </row>
    <row r="19" spans="2:12" x14ac:dyDescent="0.3">
      <c r="C19" t="s">
        <v>159</v>
      </c>
      <c r="E19" s="7" t="s">
        <v>14</v>
      </c>
      <c r="G19" s="46">
        <f>IS!K13</f>
        <v>48802.191414516259</v>
      </c>
      <c r="H19" s="46">
        <f>IS!L13</f>
        <v>55698.927179840597</v>
      </c>
      <c r="I19" s="46">
        <f>IS!M13</f>
        <v>63570.311067268638</v>
      </c>
      <c r="J19" s="46">
        <f>IS!N13</f>
        <v>72554.080550620463</v>
      </c>
      <c r="K19" s="46">
        <f>IS!O13</f>
        <v>82807.438191950627</v>
      </c>
      <c r="L19" s="100">
        <f t="shared" si="0"/>
        <v>0.14132020643796128</v>
      </c>
    </row>
    <row r="20" spans="2:12" x14ac:dyDescent="0.3">
      <c r="C20" t="s">
        <v>173</v>
      </c>
      <c r="E20" s="7" t="s">
        <v>14</v>
      </c>
      <c r="G20" s="46">
        <f>IS!K42</f>
        <v>917.38512062929806</v>
      </c>
      <c r="H20" s="46">
        <f>IS!L42</f>
        <v>972.42822786705608</v>
      </c>
      <c r="I20" s="46">
        <f>IS!M42</f>
        <v>1030.7739215390793</v>
      </c>
      <c r="J20" s="46">
        <f>IS!N42</f>
        <v>1092.6203568314243</v>
      </c>
      <c r="K20" s="46">
        <f>IS!O42</f>
        <v>1158.1775782413097</v>
      </c>
      <c r="L20" s="100">
        <f t="shared" si="0"/>
        <v>6.0000000000000053E-2</v>
      </c>
    </row>
    <row r="21" spans="2:12" x14ac:dyDescent="0.3">
      <c r="C21" t="s">
        <v>208</v>
      </c>
      <c r="E21" s="7" t="s">
        <v>14</v>
      </c>
      <c r="G21" s="46">
        <f>SUM(G19:G20)</f>
        <v>49719.576535145556</v>
      </c>
      <c r="H21" s="46">
        <f t="shared" ref="H21:K21" si="2">SUM(H19:H20)</f>
        <v>56671.355407707655</v>
      </c>
      <c r="I21" s="46">
        <f t="shared" si="2"/>
        <v>64601.084988807721</v>
      </c>
      <c r="J21" s="46">
        <f t="shared" si="2"/>
        <v>73646.700907451886</v>
      </c>
      <c r="K21" s="46">
        <f t="shared" si="2"/>
        <v>83965.615770191944</v>
      </c>
      <c r="L21" s="100">
        <f t="shared" si="0"/>
        <v>0.13997024061253605</v>
      </c>
    </row>
    <row r="22" spans="2:12" x14ac:dyDescent="0.3">
      <c r="C22" t="s">
        <v>209</v>
      </c>
      <c r="E22" s="7" t="s">
        <v>14</v>
      </c>
      <c r="G22" s="46">
        <f>G19+G20*(1-'Data Sheet'!G95)</f>
        <v>49705.815758336117</v>
      </c>
      <c r="H22" s="46">
        <f>H19+H20*(1-'Data Sheet'!H95)</f>
        <v>56642.182560871639</v>
      </c>
      <c r="I22" s="46">
        <f>I19+I20*(1-'Data Sheet'!I95)</f>
        <v>64549.54629273076</v>
      </c>
      <c r="J22" s="46">
        <f>J19+J20*(1-'Data Sheet'!J95)</f>
        <v>73581.143686042007</v>
      </c>
      <c r="K22" s="46">
        <f>K19+K20*(1-'Data Sheet'!K95)</f>
        <v>83878.752451823835</v>
      </c>
      <c r="L22" s="100">
        <f t="shared" si="0"/>
        <v>0.13975416834103083</v>
      </c>
    </row>
    <row r="23" spans="2:12" x14ac:dyDescent="0.3">
      <c r="B23" t="s">
        <v>164</v>
      </c>
      <c r="G23" s="46"/>
      <c r="H23" s="46"/>
      <c r="I23" s="46"/>
      <c r="J23" s="46"/>
      <c r="K23" s="46"/>
      <c r="L23" s="100"/>
    </row>
    <row r="24" spans="2:12" x14ac:dyDescent="0.3">
      <c r="C24" t="s">
        <v>159</v>
      </c>
      <c r="E24" s="7" t="s">
        <v>14</v>
      </c>
      <c r="G24" s="46">
        <f>IS!K15</f>
        <v>29538.746587115456</v>
      </c>
      <c r="H24" s="46">
        <f>IS!L15</f>
        <v>33713.168352725232</v>
      </c>
      <c r="I24" s="46">
        <f>IS!M15</f>
        <v>38477.520264010112</v>
      </c>
      <c r="J24" s="46">
        <f>IS!N15</f>
        <v>43915.171370940865</v>
      </c>
      <c r="K24" s="46">
        <f>IS!O15</f>
        <v>50121.27245484067</v>
      </c>
      <c r="L24" s="100">
        <f t="shared" si="0"/>
        <v>0.14132020643796128</v>
      </c>
    </row>
    <row r="25" spans="2:12" x14ac:dyDescent="0.3">
      <c r="C25" t="s">
        <v>173</v>
      </c>
      <c r="E25" s="7" t="s">
        <v>14</v>
      </c>
      <c r="G25" s="46">
        <f>IS!K44</f>
        <v>4321.5951313707019</v>
      </c>
      <c r="H25" s="46">
        <f>IS!L44</f>
        <v>4580.8908392529447</v>
      </c>
      <c r="I25" s="46">
        <f>IS!M44</f>
        <v>4855.7442896081211</v>
      </c>
      <c r="J25" s="46">
        <f>IS!N44</f>
        <v>5147.0889469846097</v>
      </c>
      <c r="K25" s="46">
        <f>IS!O44</f>
        <v>5455.914283803686</v>
      </c>
      <c r="L25" s="100">
        <f t="shared" si="0"/>
        <v>6.0000000000000053E-2</v>
      </c>
    </row>
    <row r="26" spans="2:12" x14ac:dyDescent="0.3">
      <c r="C26" t="s">
        <v>208</v>
      </c>
      <c r="E26" s="7" t="s">
        <v>14</v>
      </c>
      <c r="G26" s="46">
        <f>SUM(G24:G25)</f>
        <v>33860.341718486161</v>
      </c>
      <c r="H26" s="46">
        <f t="shared" ref="H26:K26" si="3">SUM(H24:H25)</f>
        <v>38294.059191978173</v>
      </c>
      <c r="I26" s="46">
        <f t="shared" si="3"/>
        <v>43333.264553618232</v>
      </c>
      <c r="J26" s="46">
        <f t="shared" si="3"/>
        <v>49062.260317925473</v>
      </c>
      <c r="K26" s="46">
        <f t="shared" si="3"/>
        <v>55577.186738644356</v>
      </c>
      <c r="L26" s="100">
        <f t="shared" si="0"/>
        <v>0.13188239660784751</v>
      </c>
    </row>
    <row r="27" spans="2:12" x14ac:dyDescent="0.3">
      <c r="C27" t="s">
        <v>209</v>
      </c>
      <c r="E27" s="7" t="s">
        <v>14</v>
      </c>
      <c r="G27" s="46">
        <f>G17-G22</f>
        <v>34031.271902855602</v>
      </c>
      <c r="H27" s="46">
        <f t="shared" ref="H27:K27" si="4">H17-H22</f>
        <v>38600.89799217019</v>
      </c>
      <c r="I27" s="46">
        <f t="shared" si="4"/>
        <v>43796.859524475491</v>
      </c>
      <c r="J27" s="46">
        <f t="shared" si="4"/>
        <v>49689.391376678803</v>
      </c>
      <c r="K27" s="46">
        <f t="shared" si="4"/>
        <v>56391.600161837399</v>
      </c>
      <c r="L27" s="100">
        <f t="shared" si="0"/>
        <v>0.13457721936885947</v>
      </c>
    </row>
    <row r="28" spans="2:12" x14ac:dyDescent="0.3">
      <c r="B28" t="s">
        <v>75</v>
      </c>
      <c r="G28" s="46"/>
      <c r="H28" s="46"/>
      <c r="I28" s="46"/>
      <c r="J28" s="46"/>
      <c r="K28" s="46"/>
      <c r="L28" s="100"/>
    </row>
    <row r="29" spans="2:12" x14ac:dyDescent="0.3">
      <c r="C29" t="s">
        <v>159</v>
      </c>
      <c r="E29" s="7" t="s">
        <v>14</v>
      </c>
      <c r="G29" s="46">
        <f>IS!K17</f>
        <v>13425.625750232924</v>
      </c>
      <c r="H29" s="46">
        <f>IS!L17</f>
        <v>15322.937952814647</v>
      </c>
      <c r="I29" s="46">
        <f>IS!M17</f>
        <v>17488.378707542488</v>
      </c>
      <c r="J29" s="46">
        <f>IS!N17</f>
        <v>19959.839996757641</v>
      </c>
      <c r="K29" s="46">
        <f>IS!O17</f>
        <v>22780.568705568105</v>
      </c>
      <c r="L29" s="100">
        <f t="shared" si="0"/>
        <v>0.14132020643796128</v>
      </c>
    </row>
    <row r="30" spans="2:12" x14ac:dyDescent="0.3">
      <c r="C30" t="s">
        <v>173</v>
      </c>
      <c r="E30" s="7" t="s">
        <v>14</v>
      </c>
      <c r="G30" s="46">
        <f>IS!K46</f>
        <v>3248.16775624</v>
      </c>
      <c r="H30" s="46">
        <f>IS!L46</f>
        <v>3443.0578216144004</v>
      </c>
      <c r="I30" s="46">
        <f>IS!M46</f>
        <v>3649.6412909112642</v>
      </c>
      <c r="J30" s="46">
        <f>IS!N46</f>
        <v>3868.6197683659407</v>
      </c>
      <c r="K30" s="46">
        <f>IS!O46</f>
        <v>4100.7369544678977</v>
      </c>
      <c r="L30" s="100">
        <f t="shared" si="0"/>
        <v>6.0000000000000053E-2</v>
      </c>
    </row>
    <row r="31" spans="2:12" x14ac:dyDescent="0.3">
      <c r="C31" t="s">
        <v>208</v>
      </c>
      <c r="E31" s="7" t="s">
        <v>14</v>
      </c>
      <c r="G31" s="46">
        <f>SUM(G29:G30)</f>
        <v>16673.793506472924</v>
      </c>
      <c r="H31" s="46">
        <f t="shared" ref="H31:K31" si="5">SUM(H29:H30)</f>
        <v>18765.995774429048</v>
      </c>
      <c r="I31" s="46">
        <f t="shared" si="5"/>
        <v>21138.019998453754</v>
      </c>
      <c r="J31" s="46">
        <f t="shared" si="5"/>
        <v>23828.459765123582</v>
      </c>
      <c r="K31" s="46">
        <f t="shared" si="5"/>
        <v>26881.305660036003</v>
      </c>
      <c r="L31" s="100">
        <f t="shared" si="0"/>
        <v>0.12681854286009919</v>
      </c>
    </row>
    <row r="32" spans="2:12" x14ac:dyDescent="0.3">
      <c r="C32" t="s">
        <v>209</v>
      </c>
      <c r="E32" s="7" t="s">
        <v>14</v>
      </c>
      <c r="G32" s="46">
        <f>G29*(1-'Data Sheet'!G97)+G30*(1-'Data Sheet'!G98)</f>
        <v>16391.204926313432</v>
      </c>
      <c r="H32" s="46">
        <f>H29*(1-'Data Sheet'!H97)+H30*(1-'Data Sheet'!H98)</f>
        <v>18210.76943452796</v>
      </c>
      <c r="I32" s="46">
        <f>I29*(1-'Data Sheet'!I97)+I30*(1-'Data Sheet'!I98)</f>
        <v>20252.203646871421</v>
      </c>
      <c r="J32" s="46">
        <f>J29*(1-'Data Sheet'!J97)+J30*(1-'Data Sheet'!J98)</f>
        <v>22543.404988432892</v>
      </c>
      <c r="K32" s="46">
        <f>K29*(1-'Data Sheet'!K97)+K30*(1-'Data Sheet'!K98)</f>
        <v>25115.782261921271</v>
      </c>
      <c r="L32" s="100">
        <f t="shared" si="0"/>
        <v>0.11258693906594353</v>
      </c>
    </row>
    <row r="33" spans="2:12" x14ac:dyDescent="0.3">
      <c r="B33" t="s">
        <v>76</v>
      </c>
      <c r="G33" s="46"/>
      <c r="H33" s="46"/>
      <c r="I33" s="46"/>
      <c r="J33" s="46"/>
      <c r="K33" s="46"/>
      <c r="L33" s="100"/>
    </row>
    <row r="34" spans="2:12" x14ac:dyDescent="0.3">
      <c r="C34" t="s">
        <v>159</v>
      </c>
      <c r="E34" s="7" t="s">
        <v>14</v>
      </c>
      <c r="G34" s="46">
        <f>IS!K19</f>
        <v>16113.120836882532</v>
      </c>
      <c r="H34" s="46">
        <f>IS!L19</f>
        <v>18390.230399910586</v>
      </c>
      <c r="I34" s="46">
        <f>IS!M19</f>
        <v>20989.141556467624</v>
      </c>
      <c r="J34" s="46">
        <f>IS!N19</f>
        <v>23955.331374183224</v>
      </c>
      <c r="K34" s="46">
        <f>IS!O19</f>
        <v>27340.703749272565</v>
      </c>
      <c r="L34" s="100">
        <f t="shared" si="0"/>
        <v>0.14132020643796128</v>
      </c>
    </row>
    <row r="35" spans="2:12" x14ac:dyDescent="0.3">
      <c r="C35" t="s">
        <v>173</v>
      </c>
      <c r="E35" s="7" t="s">
        <v>14</v>
      </c>
      <c r="G35" s="46">
        <f>IS!K48</f>
        <v>1073.4273751307019</v>
      </c>
      <c r="H35" s="46">
        <f>IS!L48</f>
        <v>1137.8330176385443</v>
      </c>
      <c r="I35" s="46">
        <f>IS!M48</f>
        <v>1206.102998696857</v>
      </c>
      <c r="J35" s="46">
        <f>IS!N48</f>
        <v>1278.469178618669</v>
      </c>
      <c r="K35" s="46">
        <f>IS!O48</f>
        <v>1355.1773293357883</v>
      </c>
      <c r="L35" s="100">
        <f t="shared" si="0"/>
        <v>6.0000000000000053E-2</v>
      </c>
    </row>
    <row r="36" spans="2:12" x14ac:dyDescent="0.3">
      <c r="C36" t="s">
        <v>208</v>
      </c>
      <c r="E36" s="7" t="s">
        <v>14</v>
      </c>
      <c r="G36" s="46">
        <f>SUM(G34:G35)</f>
        <v>17186.548212013233</v>
      </c>
      <c r="H36" s="46">
        <f t="shared" ref="H36:K36" si="6">SUM(H34:H35)</f>
        <v>19528.063417549129</v>
      </c>
      <c r="I36" s="46">
        <f t="shared" si="6"/>
        <v>22195.244555164481</v>
      </c>
      <c r="J36" s="46">
        <f t="shared" si="6"/>
        <v>25233.800552801895</v>
      </c>
      <c r="K36" s="46">
        <f t="shared" si="6"/>
        <v>28695.881078608352</v>
      </c>
      <c r="L36" s="100">
        <f t="shared" si="0"/>
        <v>0.13673105735910807</v>
      </c>
    </row>
    <row r="37" spans="2:12" x14ac:dyDescent="0.3">
      <c r="C37" t="s">
        <v>209</v>
      </c>
      <c r="E37" s="7" t="s">
        <v>14</v>
      </c>
      <c r="G37" s="46">
        <f>G27-G32</f>
        <v>17640.06697654217</v>
      </c>
      <c r="H37" s="46">
        <f t="shared" ref="H37:K37" si="7">H27-H32</f>
        <v>20390.128557642231</v>
      </c>
      <c r="I37" s="46">
        <f t="shared" si="7"/>
        <v>23544.655877604069</v>
      </c>
      <c r="J37" s="46">
        <f t="shared" si="7"/>
        <v>27145.98638824591</v>
      </c>
      <c r="K37" s="46">
        <f t="shared" si="7"/>
        <v>31275.817899916128</v>
      </c>
      <c r="L37" s="100">
        <f t="shared" si="0"/>
        <v>0.15392374854065949</v>
      </c>
    </row>
    <row r="38" spans="2:12" x14ac:dyDescent="0.3">
      <c r="B38" t="s">
        <v>26</v>
      </c>
      <c r="G38" s="46"/>
      <c r="H38" s="46"/>
      <c r="I38" s="46"/>
      <c r="J38" s="46"/>
      <c r="K38" s="46"/>
      <c r="L38" s="100"/>
    </row>
    <row r="39" spans="2:12" x14ac:dyDescent="0.3">
      <c r="C39" t="s">
        <v>159</v>
      </c>
      <c r="E39" s="7" t="s">
        <v>14</v>
      </c>
      <c r="G39" s="46">
        <f>IS!K21</f>
        <v>3949.4060644535857</v>
      </c>
      <c r="H39" s="46">
        <f>IS!L21</f>
        <v>4507.5369447895027</v>
      </c>
      <c r="I39" s="46">
        <f>IS!M21</f>
        <v>5144.5429963538927</v>
      </c>
      <c r="J39" s="46">
        <f>IS!N21</f>
        <v>5871.5708746275932</v>
      </c>
      <c r="K39" s="46">
        <f>IS!O21</f>
        <v>6701.3424827450854</v>
      </c>
      <c r="L39" s="100">
        <f t="shared" si="0"/>
        <v>0.14132020643796128</v>
      </c>
    </row>
    <row r="40" spans="2:12" x14ac:dyDescent="0.3">
      <c r="C40" t="s">
        <v>173</v>
      </c>
      <c r="E40" s="7" t="s">
        <v>14</v>
      </c>
      <c r="G40" s="46">
        <f>IS!K50</f>
        <v>245.16966646936746</v>
      </c>
      <c r="H40" s="46">
        <f>IS!L50</f>
        <v>259.87984645752954</v>
      </c>
      <c r="I40" s="46">
        <f>IS!M50</f>
        <v>275.47263724498129</v>
      </c>
      <c r="J40" s="46">
        <f>IS!N50</f>
        <v>292.00099547968023</v>
      </c>
      <c r="K40" s="46">
        <f>IS!O50</f>
        <v>309.52105520846101</v>
      </c>
      <c r="L40" s="100">
        <f t="shared" si="0"/>
        <v>6.0000000000000053E-2</v>
      </c>
    </row>
    <row r="41" spans="2:12" x14ac:dyDescent="0.3">
      <c r="C41" t="s">
        <v>208</v>
      </c>
      <c r="E41" s="7" t="s">
        <v>14</v>
      </c>
      <c r="G41" s="46">
        <f>SUM(G39:G40)</f>
        <v>4194.575730922953</v>
      </c>
      <c r="H41" s="46">
        <f t="shared" ref="H41:K41" si="8">SUM(H39:H40)</f>
        <v>4767.4167912470321</v>
      </c>
      <c r="I41" s="46">
        <f t="shared" si="8"/>
        <v>5420.015633598874</v>
      </c>
      <c r="J41" s="46">
        <f t="shared" si="8"/>
        <v>6163.5718701072738</v>
      </c>
      <c r="K41" s="46">
        <f t="shared" si="8"/>
        <v>7010.8635379535463</v>
      </c>
      <c r="L41" s="100">
        <f t="shared" si="0"/>
        <v>0.13702723801782501</v>
      </c>
    </row>
    <row r="42" spans="2:12" x14ac:dyDescent="0.3">
      <c r="C42" t="s">
        <v>209</v>
      </c>
      <c r="E42" s="7" t="s">
        <v>14</v>
      </c>
      <c r="G42" s="46">
        <f>G39*(1-'Data Sheet'!G97)+Synergy!G40*(1-'Data Sheet'!G98)</f>
        <v>4129.2053982944153</v>
      </c>
      <c r="H42" s="46">
        <f>H39*(1-'Data Sheet'!H97)+Synergy!H40*(1-'Data Sheet'!H98)</f>
        <v>4641.7343753044179</v>
      </c>
      <c r="I42" s="46">
        <f>I39*(1-'Data Sheet'!I97)+Synergy!I40*(1-'Data Sheet'!I98)</f>
        <v>5219.2961809331146</v>
      </c>
      <c r="J42" s="46">
        <f>J39*(1-'Data Sheet'!J97)+Synergy!J40*(1-'Data Sheet'!J98)</f>
        <v>5870.1510812010638</v>
      </c>
      <c r="K42" s="46">
        <f>K39*(1-'Data Sheet'!K97)+Synergy!K40*(1-'Data Sheet'!K98)</f>
        <v>6603.599569501509</v>
      </c>
      <c r="L42" s="100">
        <f t="shared" si="0"/>
        <v>0.12454945914363358</v>
      </c>
    </row>
    <row r="43" spans="2:12" x14ac:dyDescent="0.3">
      <c r="B43" t="s">
        <v>78</v>
      </c>
      <c r="G43" s="46"/>
      <c r="H43" s="46"/>
      <c r="I43" s="46"/>
      <c r="J43" s="46"/>
      <c r="K43" s="46"/>
      <c r="L43" s="100"/>
    </row>
    <row r="44" spans="2:12" x14ac:dyDescent="0.3">
      <c r="C44" t="s">
        <v>159</v>
      </c>
      <c r="E44" s="7" t="s">
        <v>14</v>
      </c>
      <c r="G44" s="46">
        <f>IS!K23</f>
        <v>12163.714772428946</v>
      </c>
      <c r="H44" s="46">
        <f>IS!L23</f>
        <v>13882.693455121083</v>
      </c>
      <c r="I44" s="46">
        <f>IS!M23</f>
        <v>15844.598560113733</v>
      </c>
      <c r="J44" s="46">
        <f>IS!N23</f>
        <v>18083.760499555632</v>
      </c>
      <c r="K44" s="46">
        <f>IS!O23</f>
        <v>20639.361266527478</v>
      </c>
      <c r="L44" s="100">
        <f t="shared" si="0"/>
        <v>0.14132020643796128</v>
      </c>
    </row>
    <row r="45" spans="2:12" x14ac:dyDescent="0.3">
      <c r="C45" t="s">
        <v>173</v>
      </c>
      <c r="E45" s="7" t="s">
        <v>14</v>
      </c>
      <c r="G45" s="46">
        <f>IS!K52</f>
        <v>828.25770866133439</v>
      </c>
      <c r="H45" s="46">
        <f>IS!L52</f>
        <v>877.9531711810148</v>
      </c>
      <c r="I45" s="46">
        <f>IS!M52</f>
        <v>930.63036145187561</v>
      </c>
      <c r="J45" s="46">
        <f>IS!N52</f>
        <v>986.46818313898882</v>
      </c>
      <c r="K45" s="46">
        <f>IS!O52</f>
        <v>1045.6562741273274</v>
      </c>
      <c r="L45" s="100">
        <f t="shared" si="0"/>
        <v>6.0000000000000053E-2</v>
      </c>
    </row>
    <row r="46" spans="2:12" x14ac:dyDescent="0.3">
      <c r="C46" t="s">
        <v>208</v>
      </c>
      <c r="E46" s="7" t="s">
        <v>14</v>
      </c>
      <c r="G46" s="46">
        <f>SUM(G44:G45)</f>
        <v>12991.972481090281</v>
      </c>
      <c r="H46" s="46">
        <f t="shared" ref="H46:K46" si="9">SUM(H44:H45)</f>
        <v>14760.646626302098</v>
      </c>
      <c r="I46" s="46">
        <f t="shared" si="9"/>
        <v>16775.228921565609</v>
      </c>
      <c r="J46" s="46">
        <f t="shared" si="9"/>
        <v>19070.228682694622</v>
      </c>
      <c r="K46" s="46">
        <f t="shared" si="9"/>
        <v>21685.017540654804</v>
      </c>
      <c r="L46" s="100">
        <f t="shared" si="0"/>
        <v>0.13663538329897085</v>
      </c>
    </row>
    <row r="47" spans="2:12" x14ac:dyDescent="0.3">
      <c r="C47" t="s">
        <v>209</v>
      </c>
      <c r="E47" s="7" t="s">
        <v>14</v>
      </c>
      <c r="G47" s="46">
        <f>G37-G42</f>
        <v>13510.861578247754</v>
      </c>
      <c r="H47" s="46">
        <f t="shared" ref="H47:K47" si="10">H37-H42</f>
        <v>15748.394182337812</v>
      </c>
      <c r="I47" s="46">
        <f t="shared" si="10"/>
        <v>18325.359696670956</v>
      </c>
      <c r="J47" s="46">
        <f t="shared" si="10"/>
        <v>21275.835307044847</v>
      </c>
      <c r="K47" s="46">
        <f t="shared" si="10"/>
        <v>24672.21833041462</v>
      </c>
      <c r="L47" s="100">
        <f t="shared" si="0"/>
        <v>0.16246875516160619</v>
      </c>
    </row>
    <row r="48" spans="2:12" x14ac:dyDescent="0.3">
      <c r="B48" t="s">
        <v>80</v>
      </c>
      <c r="G48" s="46"/>
      <c r="H48" s="46"/>
      <c r="I48" s="46"/>
      <c r="J48" s="46"/>
      <c r="K48" s="46"/>
      <c r="L48" s="100"/>
    </row>
    <row r="49" spans="2:12" x14ac:dyDescent="0.3">
      <c r="C49" t="s">
        <v>159</v>
      </c>
      <c r="E49" s="7" t="s">
        <v>14</v>
      </c>
      <c r="G49" s="46">
        <f>IS!K25</f>
        <v>1751.3251501414929</v>
      </c>
      <c r="H49" s="46">
        <f>IS!L25</f>
        <v>1998.8227818994822</v>
      </c>
      <c r="I49" s="46">
        <f>IS!M25</f>
        <v>2281.2968300704169</v>
      </c>
      <c r="J49" s="46">
        <f>IS!N25</f>
        <v>2603.6901690422355</v>
      </c>
      <c r="K49" s="46">
        <f>IS!O25</f>
        <v>2971.6442012317743</v>
      </c>
      <c r="L49" s="100">
        <f t="shared" si="0"/>
        <v>0.14132020643796128</v>
      </c>
    </row>
    <row r="50" spans="2:12" x14ac:dyDescent="0.3">
      <c r="C50" t="s">
        <v>173</v>
      </c>
      <c r="E50" s="7" t="s">
        <v>14</v>
      </c>
      <c r="G50" s="46">
        <f>IS!K54</f>
        <v>273.79480158017873</v>
      </c>
      <c r="H50" s="46">
        <f>IS!L54</f>
        <v>290.2224896749895</v>
      </c>
      <c r="I50" s="46">
        <f>IS!M54</f>
        <v>307.63583905548882</v>
      </c>
      <c r="J50" s="46">
        <f>IS!N54</f>
        <v>326.09398939881822</v>
      </c>
      <c r="K50" s="46">
        <f>IS!O54</f>
        <v>345.65962876274733</v>
      </c>
      <c r="L50" s="100">
        <f t="shared" si="0"/>
        <v>6.0000000000000053E-2</v>
      </c>
    </row>
    <row r="51" spans="2:12" x14ac:dyDescent="0.3">
      <c r="C51" t="s">
        <v>208</v>
      </c>
      <c r="E51" s="7" t="s">
        <v>14</v>
      </c>
      <c r="G51" s="46">
        <f>SUM(G49:G50)</f>
        <v>2025.1199517216717</v>
      </c>
      <c r="H51" s="46">
        <f t="shared" ref="H51:K51" si="11">SUM(H49:H50)</f>
        <v>2289.0452715744718</v>
      </c>
      <c r="I51" s="46">
        <f t="shared" si="11"/>
        <v>2588.9326691259057</v>
      </c>
      <c r="J51" s="46">
        <f t="shared" si="11"/>
        <v>2929.7841584410539</v>
      </c>
      <c r="K51" s="46">
        <f t="shared" si="11"/>
        <v>3317.3038299945215</v>
      </c>
      <c r="L51" s="100">
        <f t="shared" si="0"/>
        <v>0.1313152057851199</v>
      </c>
    </row>
    <row r="52" spans="2:12" x14ac:dyDescent="0.3">
      <c r="C52" t="s">
        <v>209</v>
      </c>
      <c r="E52" s="7" t="s">
        <v>14</v>
      </c>
      <c r="G52" s="46">
        <f>G49+G50*(1-'Data Sheet'!G98)</f>
        <v>2018.2750816821672</v>
      </c>
      <c r="H52" s="46">
        <f>H49+H50*(1-'Data Sheet'!H98)</f>
        <v>2274.5341470907224</v>
      </c>
      <c r="I52" s="46">
        <f>I49+I50*(1-'Data Sheet'!I98)</f>
        <v>2565.8599811967442</v>
      </c>
      <c r="J52" s="46">
        <f>J49+J50*(1-'Data Sheet'!J98)</f>
        <v>2897.174759501172</v>
      </c>
      <c r="K52" s="46">
        <f>K49+K50*(1-'Data Sheet'!K98)</f>
        <v>3274.0963763991781</v>
      </c>
      <c r="L52" s="100">
        <f t="shared" si="0"/>
        <v>0.12856811257530842</v>
      </c>
    </row>
    <row r="53" spans="2:12" x14ac:dyDescent="0.3">
      <c r="B53" t="s">
        <v>211</v>
      </c>
      <c r="G53" s="46"/>
      <c r="H53" s="46"/>
      <c r="I53" s="46"/>
      <c r="J53" s="46"/>
      <c r="K53" s="46"/>
      <c r="L53" s="100"/>
    </row>
    <row r="54" spans="2:12" x14ac:dyDescent="0.3">
      <c r="C54" t="s">
        <v>159</v>
      </c>
      <c r="E54" s="7" t="s">
        <v>14</v>
      </c>
      <c r="G54" s="46">
        <f>IS!K30</f>
        <v>11495.063847498544</v>
      </c>
      <c r="H54" s="46">
        <f>IS!L30</f>
        <v>13119.548643444583</v>
      </c>
      <c r="I54" s="46">
        <f>IS!M30</f>
        <v>14973.605966109051</v>
      </c>
      <c r="J54" s="46">
        <f>IS!N30</f>
        <v>17089.679052360272</v>
      </c>
      <c r="K54" s="46">
        <f>IS!O30</f>
        <v>19504.796023998322</v>
      </c>
      <c r="L54" s="100">
        <f t="shared" si="0"/>
        <v>0.14132020643796128</v>
      </c>
    </row>
    <row r="55" spans="2:12" x14ac:dyDescent="0.3">
      <c r="C55" t="s">
        <v>173</v>
      </c>
      <c r="E55" s="7" t="s">
        <v>14</v>
      </c>
      <c r="G55" s="46">
        <f>IS!K59</f>
        <v>587.65223445038941</v>
      </c>
      <c r="H55" s="46">
        <f>IS!L59</f>
        <v>622.91136851741317</v>
      </c>
      <c r="I55" s="46">
        <f>IS!M59</f>
        <v>660.28605062845793</v>
      </c>
      <c r="J55" s="46">
        <f>IS!N59</f>
        <v>699.90321366616581</v>
      </c>
      <c r="K55" s="46">
        <f>IS!O59</f>
        <v>741.89740648613508</v>
      </c>
      <c r="L55" s="100">
        <f t="shared" si="0"/>
        <v>6.0000000000000053E-2</v>
      </c>
    </row>
    <row r="56" spans="2:12" x14ac:dyDescent="0.3">
      <c r="C56" t="s">
        <v>208</v>
      </c>
      <c r="E56" s="7" t="s">
        <v>14</v>
      </c>
      <c r="G56" s="46">
        <f>SUM(G54:G55)</f>
        <v>12082.716081948935</v>
      </c>
      <c r="H56" s="46">
        <f t="shared" ref="H56:K56" si="12">SUM(H54:H55)</f>
        <v>13742.460011961995</v>
      </c>
      <c r="I56" s="46">
        <f t="shared" si="12"/>
        <v>15633.892016737509</v>
      </c>
      <c r="J56" s="46">
        <f t="shared" si="12"/>
        <v>17789.582266026438</v>
      </c>
      <c r="K56" s="46">
        <f t="shared" si="12"/>
        <v>20246.693430484458</v>
      </c>
      <c r="L56" s="100">
        <f t="shared" si="0"/>
        <v>0.13775141442982397</v>
      </c>
    </row>
    <row r="57" spans="2:12" x14ac:dyDescent="0.3">
      <c r="C57" t="s">
        <v>209</v>
      </c>
      <c r="E57" s="7" t="s">
        <v>14</v>
      </c>
      <c r="G57" s="46">
        <f>G47-G52</f>
        <v>11492.586496565586</v>
      </c>
      <c r="H57" s="46">
        <f t="shared" ref="H57:K57" si="13">H47-H52</f>
        <v>13473.860035247089</v>
      </c>
      <c r="I57" s="46">
        <f t="shared" si="13"/>
        <v>15759.499715474212</v>
      </c>
      <c r="J57" s="46">
        <f t="shared" si="13"/>
        <v>18378.660547543674</v>
      </c>
      <c r="K57" s="46">
        <f t="shared" si="13"/>
        <v>21398.121954015442</v>
      </c>
      <c r="L57" s="100">
        <f t="shared" si="0"/>
        <v>0.16812540507338447</v>
      </c>
    </row>
    <row r="58" spans="2:12" x14ac:dyDescent="0.3">
      <c r="B58" t="s">
        <v>83</v>
      </c>
      <c r="G58" s="46"/>
      <c r="H58" s="46"/>
      <c r="I58" s="46"/>
      <c r="J58" s="46"/>
      <c r="K58" s="46"/>
      <c r="L58" s="100"/>
    </row>
    <row r="59" spans="2:12" x14ac:dyDescent="0.3">
      <c r="C59" t="s">
        <v>159</v>
      </c>
      <c r="E59" s="7" t="s">
        <v>14</v>
      </c>
      <c r="G59" s="46">
        <f>IS!K32</f>
        <v>2313.8781250921675</v>
      </c>
      <c r="H59" s="46">
        <f>IS!L32</f>
        <v>2640.8758594024753</v>
      </c>
      <c r="I59" s="46">
        <f>IS!M32</f>
        <v>3014.084981030263</v>
      </c>
      <c r="J59" s="46">
        <f>IS!N32</f>
        <v>3440.0360927710185</v>
      </c>
      <c r="K59" s="46">
        <f>IS!O32</f>
        <v>3926.1827035554552</v>
      </c>
      <c r="L59" s="100">
        <f t="shared" si="0"/>
        <v>0.14132020643796128</v>
      </c>
    </row>
    <row r="60" spans="2:12" x14ac:dyDescent="0.3">
      <c r="C60" t="s">
        <v>173</v>
      </c>
      <c r="E60" s="7" t="s">
        <v>14</v>
      </c>
      <c r="G60" s="46">
        <f>IS!K61</f>
        <v>213.08487524586445</v>
      </c>
      <c r="H60" s="46">
        <f>IS!L61</f>
        <v>225.86996776061645</v>
      </c>
      <c r="I60" s="46">
        <f>IS!M61</f>
        <v>239.42216582625343</v>
      </c>
      <c r="J60" s="46">
        <f>IS!N61</f>
        <v>253.78749577582877</v>
      </c>
      <c r="K60" s="46">
        <f>IS!O61</f>
        <v>269.01474552237829</v>
      </c>
      <c r="L60" s="100">
        <f t="shared" si="0"/>
        <v>6.0000000000000053E-2</v>
      </c>
    </row>
    <row r="61" spans="2:12" x14ac:dyDescent="0.3">
      <c r="C61" t="s">
        <v>208</v>
      </c>
      <c r="E61" s="7" t="s">
        <v>14</v>
      </c>
      <c r="G61" s="46">
        <f>SUM(G59:G60)</f>
        <v>2526.9630003380321</v>
      </c>
      <c r="H61" s="46">
        <f t="shared" ref="H61:K61" si="14">SUM(H59:H60)</f>
        <v>2866.7458271630917</v>
      </c>
      <c r="I61" s="46">
        <f t="shared" si="14"/>
        <v>3253.5071468565166</v>
      </c>
      <c r="J61" s="46">
        <f t="shared" si="14"/>
        <v>3693.8235885468471</v>
      </c>
      <c r="K61" s="46">
        <f t="shared" si="14"/>
        <v>4195.1974490778339</v>
      </c>
      <c r="L61" s="100">
        <f t="shared" si="0"/>
        <v>0.13511112654545365</v>
      </c>
    </row>
    <row r="62" spans="2:12" x14ac:dyDescent="0.3">
      <c r="C62" t="s">
        <v>209</v>
      </c>
      <c r="E62" s="7" t="s">
        <v>14</v>
      </c>
      <c r="G62" s="46">
        <f>G57*IS!K33</f>
        <v>2313.3794512084901</v>
      </c>
      <c r="H62" s="46">
        <f>H57*IS!L33</f>
        <v>2712.1963313754245</v>
      </c>
      <c r="I62" s="46">
        <f>I57*IS!M33</f>
        <v>3172.2800445312305</v>
      </c>
      <c r="J62" s="46">
        <f>J57*IS!N33</f>
        <v>3699.4992958399166</v>
      </c>
      <c r="K62" s="46">
        <f>K57*IS!O33</f>
        <v>4307.2963286085023</v>
      </c>
      <c r="L62" s="100">
        <f t="shared" si="0"/>
        <v>0.16812540507338447</v>
      </c>
    </row>
    <row r="63" spans="2:12" x14ac:dyDescent="0.3">
      <c r="B63" t="s">
        <v>212</v>
      </c>
      <c r="G63" s="46"/>
      <c r="H63" s="46"/>
      <c r="I63" s="46"/>
      <c r="J63" s="46"/>
      <c r="K63" s="46"/>
      <c r="L63" s="100"/>
    </row>
    <row r="64" spans="2:12" x14ac:dyDescent="0.3">
      <c r="C64" t="s">
        <v>159</v>
      </c>
      <c r="E64" s="7" t="s">
        <v>14</v>
      </c>
      <c r="G64" s="46">
        <f>IS!K34</f>
        <v>9181.185722406377</v>
      </c>
      <c r="H64" s="46">
        <f>IS!L34</f>
        <v>10478.672784042108</v>
      </c>
      <c r="I64" s="46">
        <f>IS!M34</f>
        <v>11959.520985078789</v>
      </c>
      <c r="J64" s="46">
        <f>IS!N34</f>
        <v>13649.642959589253</v>
      </c>
      <c r="K64" s="46">
        <f>IS!O34</f>
        <v>15578.613320442866</v>
      </c>
      <c r="L64" s="100">
        <f>((K64/G64)^(1/($K$11-$G$11)))-1</f>
        <v>0.14132020643796128</v>
      </c>
    </row>
    <row r="65" spans="1:12" x14ac:dyDescent="0.3">
      <c r="C65" t="s">
        <v>173</v>
      </c>
      <c r="E65" s="7" t="s">
        <v>14</v>
      </c>
      <c r="G65" s="46">
        <f>IS!K63</f>
        <v>374.56735920452496</v>
      </c>
      <c r="H65" s="46">
        <f>IS!L63</f>
        <v>397.04140075679675</v>
      </c>
      <c r="I65" s="46">
        <f>IS!M63</f>
        <v>420.8638848022045</v>
      </c>
      <c r="J65" s="46">
        <f>IS!N63</f>
        <v>446.11571789033701</v>
      </c>
      <c r="K65" s="46">
        <f>IS!O63</f>
        <v>472.88266096375679</v>
      </c>
      <c r="L65" s="100">
        <f t="shared" si="0"/>
        <v>6.0000000000000053E-2</v>
      </c>
    </row>
    <row r="66" spans="1:12" x14ac:dyDescent="0.3">
      <c r="C66" t="s">
        <v>208</v>
      </c>
      <c r="E66" s="7" t="s">
        <v>14</v>
      </c>
      <c r="G66" s="46">
        <f>SUM(G64:G65)</f>
        <v>9555.7530816109011</v>
      </c>
      <c r="H66" s="46">
        <f t="shared" ref="H66:K66" si="15">SUM(H64:H65)</f>
        <v>10875.714184798904</v>
      </c>
      <c r="I66" s="46">
        <f t="shared" si="15"/>
        <v>12380.384869880992</v>
      </c>
      <c r="J66" s="46">
        <f t="shared" si="15"/>
        <v>14095.758677479591</v>
      </c>
      <c r="K66" s="46">
        <f t="shared" si="15"/>
        <v>16051.495981406622</v>
      </c>
      <c r="L66" s="100">
        <f t="shared" si="0"/>
        <v>0.1384465591179409</v>
      </c>
    </row>
    <row r="67" spans="1:12" x14ac:dyDescent="0.3">
      <c r="C67" t="s">
        <v>209</v>
      </c>
      <c r="E67" s="7" t="s">
        <v>14</v>
      </c>
      <c r="G67" s="46">
        <f>G57-G62</f>
        <v>9179.2070453570959</v>
      </c>
      <c r="H67" s="46">
        <f t="shared" ref="H67:K67" si="16">H57-H62</f>
        <v>10761.663703871665</v>
      </c>
      <c r="I67" s="46">
        <f t="shared" si="16"/>
        <v>12587.219670942981</v>
      </c>
      <c r="J67" s="46">
        <f t="shared" si="16"/>
        <v>14679.161251703757</v>
      </c>
      <c r="K67" s="46">
        <f t="shared" si="16"/>
        <v>17090.825625406938</v>
      </c>
      <c r="L67" s="100">
        <f t="shared" si="0"/>
        <v>0.16812540507338447</v>
      </c>
    </row>
    <row r="69" spans="1:12" x14ac:dyDescent="0.3">
      <c r="A69" s="2" t="s">
        <v>150</v>
      </c>
    </row>
    <row r="70" spans="1:12" x14ac:dyDescent="0.3">
      <c r="B70" t="s">
        <v>213</v>
      </c>
      <c r="E70" s="7" t="s">
        <v>14</v>
      </c>
      <c r="G70" s="27">
        <f>G67-G66</f>
        <v>-376.54603625380514</v>
      </c>
      <c r="H70" s="27">
        <f t="shared" ref="H70:K70" si="17">H67-H66</f>
        <v>-114.05048092723882</v>
      </c>
      <c r="I70" s="27">
        <f t="shared" si="17"/>
        <v>206.8348010619884</v>
      </c>
      <c r="J70" s="27">
        <f t="shared" si="17"/>
        <v>583.40257422416653</v>
      </c>
      <c r="K70" s="95">
        <f t="shared" si="17"/>
        <v>1039.329644000316</v>
      </c>
    </row>
    <row r="71" spans="1:12" x14ac:dyDescent="0.3">
      <c r="B71" t="s">
        <v>214</v>
      </c>
      <c r="E71" s="7" t="s">
        <v>14</v>
      </c>
      <c r="K71" s="95">
        <f>K70*(1+'Data Sheet'!F88)/(Synergy!F9-'Data Sheet'!F88)</f>
        <v>14751.421761420374</v>
      </c>
    </row>
    <row r="72" spans="1:12" x14ac:dyDescent="0.3">
      <c r="B72" t="s">
        <v>215</v>
      </c>
      <c r="E72" s="7" t="s">
        <v>14</v>
      </c>
      <c r="F72" s="27"/>
      <c r="G72" s="27">
        <f>G70</f>
        <v>-376.54603625380514</v>
      </c>
      <c r="H72" s="27">
        <f t="shared" ref="H72:J72" si="18">H70</f>
        <v>-114.05048092723882</v>
      </c>
      <c r="I72" s="27">
        <f t="shared" si="18"/>
        <v>206.8348010619884</v>
      </c>
      <c r="J72" s="27">
        <f t="shared" si="18"/>
        <v>583.40257422416653</v>
      </c>
      <c r="K72" s="95">
        <f>SUM(K70:K71)</f>
        <v>15790.751405420689</v>
      </c>
    </row>
    <row r="73" spans="1:12" x14ac:dyDescent="0.3">
      <c r="B73" t="s">
        <v>216</v>
      </c>
      <c r="E73" s="7" t="s">
        <v>14</v>
      </c>
      <c r="F73" s="71">
        <f>NPV(F9,G72:K72)</f>
        <v>8391.0474143297251</v>
      </c>
    </row>
    <row r="74" spans="1:12" x14ac:dyDescent="0.3">
      <c r="B74" t="s">
        <v>217</v>
      </c>
      <c r="E74" s="7" t="s">
        <v>14</v>
      </c>
      <c r="F74" s="71">
        <f>F73/Plan!H8</f>
        <v>270.76873838333654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6670-2D69-40EE-A41F-A2A3B8938186}">
  <dimension ref="A1:L44"/>
  <sheetViews>
    <sheetView showGridLines="0"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G33" sqref="G33"/>
    </sheetView>
  </sheetViews>
  <sheetFormatPr defaultRowHeight="14.4" x14ac:dyDescent="0.3"/>
  <cols>
    <col min="1" max="2" width="3" style="2" customWidth="1"/>
    <col min="3" max="3" width="3" customWidth="1"/>
    <col min="4" max="4" width="35.6640625" customWidth="1"/>
    <col min="5" max="5" width="8.88671875" style="7"/>
    <col min="7" max="12" width="10.5546875" bestFit="1" customWidth="1"/>
  </cols>
  <sheetData>
    <row r="1" spans="1:8" s="85" customFormat="1" ht="43.8" customHeight="1" x14ac:dyDescent="0.3">
      <c r="A1" s="84" t="s">
        <v>219</v>
      </c>
      <c r="B1" s="1"/>
      <c r="E1" s="45" t="s">
        <v>98</v>
      </c>
      <c r="F1" s="86"/>
      <c r="G1" s="87" t="s">
        <v>69</v>
      </c>
      <c r="H1" s="88" t="s">
        <v>99</v>
      </c>
    </row>
    <row r="3" spans="1:8" x14ac:dyDescent="0.3">
      <c r="B3" s="2" t="s">
        <v>212</v>
      </c>
    </row>
    <row r="4" spans="1:8" x14ac:dyDescent="0.3">
      <c r="C4" t="s">
        <v>153</v>
      </c>
      <c r="E4" s="7" t="s">
        <v>14</v>
      </c>
      <c r="G4" s="121" cm="1">
        <f t="array" ref="G4:G8">TRANSPOSE(IS!K34:O34)</f>
        <v>9181.185722406377</v>
      </c>
      <c r="H4" s="121" cm="1">
        <f t="array" ref="H4:H8">TRANSPOSE(IS!K63:O63)</f>
        <v>374.56735920452496</v>
      </c>
    </row>
    <row r="5" spans="1:8" x14ac:dyDescent="0.3">
      <c r="C5" t="s">
        <v>154</v>
      </c>
      <c r="E5" s="7" t="s">
        <v>14</v>
      </c>
      <c r="G5" s="121">
        <v>10478.672784042108</v>
      </c>
      <c r="H5" s="121">
        <v>397.04140075679675</v>
      </c>
    </row>
    <row r="6" spans="1:8" x14ac:dyDescent="0.3">
      <c r="C6" t="s">
        <v>155</v>
      </c>
      <c r="E6" s="7" t="s">
        <v>14</v>
      </c>
      <c r="G6" s="121">
        <v>11959.520985078789</v>
      </c>
      <c r="H6" s="121">
        <v>420.8638848022045</v>
      </c>
    </row>
    <row r="7" spans="1:8" x14ac:dyDescent="0.3">
      <c r="C7" t="s">
        <v>156</v>
      </c>
      <c r="E7" s="7" t="s">
        <v>14</v>
      </c>
      <c r="G7" s="121">
        <v>13649.642959589253</v>
      </c>
      <c r="H7" s="121">
        <v>446.11571789033701</v>
      </c>
    </row>
    <row r="8" spans="1:8" x14ac:dyDescent="0.3">
      <c r="C8" t="s">
        <v>157</v>
      </c>
      <c r="E8" s="7" t="s">
        <v>14</v>
      </c>
      <c r="G8" s="121">
        <v>15578.613320442866</v>
      </c>
      <c r="H8" s="121">
        <v>472.88266096375679</v>
      </c>
    </row>
    <row r="10" spans="1:8" x14ac:dyDescent="0.3">
      <c r="B10" s="2" t="s">
        <v>185</v>
      </c>
    </row>
    <row r="11" spans="1:8" x14ac:dyDescent="0.3">
      <c r="C11" t="s">
        <v>153</v>
      </c>
      <c r="E11" s="7" t="s">
        <v>5</v>
      </c>
      <c r="G11" s="121">
        <f>G4/Plan!$G$8</f>
        <v>318.53544004776973</v>
      </c>
      <c r="H11" s="121">
        <f>H4/Plan!$H$8</f>
        <v>12.086826147375399</v>
      </c>
    </row>
    <row r="12" spans="1:8" x14ac:dyDescent="0.3">
      <c r="C12" t="s">
        <v>154</v>
      </c>
      <c r="E12" s="7" t="s">
        <v>5</v>
      </c>
      <c r="G12" s="121">
        <f>G5/Plan!$G$8</f>
        <v>363.55093419312738</v>
      </c>
      <c r="H12" s="121">
        <f>H5/Plan!$H$8</f>
        <v>12.812035716217933</v>
      </c>
    </row>
    <row r="13" spans="1:8" x14ac:dyDescent="0.3">
      <c r="C13" t="s">
        <v>155</v>
      </c>
      <c r="E13" s="7" t="s">
        <v>5</v>
      </c>
      <c r="G13" s="121">
        <f>G6/Plan!$G$8</f>
        <v>414.92802726401391</v>
      </c>
      <c r="H13" s="121">
        <f>H6/Plan!$H$8</f>
        <v>13.580757859191007</v>
      </c>
    </row>
    <row r="14" spans="1:8" x14ac:dyDescent="0.3">
      <c r="C14" t="s">
        <v>156</v>
      </c>
      <c r="E14" s="7" t="s">
        <v>5</v>
      </c>
      <c r="G14" s="121">
        <f>G7/Plan!$G$8</f>
        <v>473.56574173386042</v>
      </c>
      <c r="H14" s="121">
        <f>H7/Plan!$H$8</f>
        <v>14.395603330742475</v>
      </c>
    </row>
    <row r="15" spans="1:8" x14ac:dyDescent="0.3">
      <c r="C15" t="s">
        <v>157</v>
      </c>
      <c r="E15" s="7" t="s">
        <v>5</v>
      </c>
      <c r="G15" s="121">
        <f>G8/Plan!$G$8</f>
        <v>540.49015011763561</v>
      </c>
      <c r="H15" s="121">
        <f>H8/Plan!$H$8</f>
        <v>15.25933953058701</v>
      </c>
    </row>
    <row r="17" spans="1:12" x14ac:dyDescent="0.3">
      <c r="B17" s="2" t="s">
        <v>150</v>
      </c>
    </row>
    <row r="18" spans="1:12" x14ac:dyDescent="0.3">
      <c r="C18" t="str">
        <f>C11</f>
        <v>FY2025</v>
      </c>
      <c r="E18" s="7" t="s">
        <v>14</v>
      </c>
      <c r="G18" s="122" cm="1">
        <f t="array" ref="G18:G22">TRANSPOSE(Synergy!G67:'Synergy'!K67)</f>
        <v>9179.2070453570959</v>
      </c>
    </row>
    <row r="19" spans="1:12" x14ac:dyDescent="0.3">
      <c r="C19" t="str">
        <f t="shared" ref="C19:C22" si="0">C12</f>
        <v>FY2026</v>
      </c>
      <c r="E19" s="7" t="s">
        <v>14</v>
      </c>
      <c r="G19" s="122">
        <v>10761.663703871665</v>
      </c>
    </row>
    <row r="20" spans="1:12" x14ac:dyDescent="0.3">
      <c r="C20" t="str">
        <f t="shared" si="0"/>
        <v>FY2027</v>
      </c>
      <c r="E20" s="7" t="s">
        <v>14</v>
      </c>
      <c r="G20" s="122">
        <v>12587.219670942981</v>
      </c>
    </row>
    <row r="21" spans="1:12" x14ac:dyDescent="0.3">
      <c r="C21" t="str">
        <f t="shared" si="0"/>
        <v>FY2028</v>
      </c>
      <c r="E21" s="7" t="s">
        <v>14</v>
      </c>
      <c r="G21" s="122">
        <v>14679.161251703757</v>
      </c>
    </row>
    <row r="22" spans="1:12" x14ac:dyDescent="0.3">
      <c r="C22" t="str">
        <f t="shared" si="0"/>
        <v>FY2029</v>
      </c>
      <c r="E22" s="7" t="s">
        <v>14</v>
      </c>
      <c r="G22" s="122">
        <v>17090.825625406938</v>
      </c>
    </row>
    <row r="24" spans="1:12" x14ac:dyDescent="0.3">
      <c r="A24" s="2" t="s">
        <v>218</v>
      </c>
    </row>
    <row r="25" spans="1:12" x14ac:dyDescent="0.3">
      <c r="B25" s="2" t="s">
        <v>212</v>
      </c>
      <c r="G25" s="123">
        <f>Finance!G7</f>
        <v>0</v>
      </c>
      <c r="H25" s="123">
        <f>Finance!H7</f>
        <v>0.1</v>
      </c>
      <c r="I25" s="123">
        <f>Finance!I7</f>
        <v>0.2</v>
      </c>
      <c r="J25" s="123">
        <f>Finance!J7</f>
        <v>0.3</v>
      </c>
      <c r="K25" s="123">
        <f>Finance!K7</f>
        <v>0.4</v>
      </c>
      <c r="L25" s="123">
        <f>Finance!L7</f>
        <v>0.5</v>
      </c>
    </row>
    <row r="26" spans="1:12" x14ac:dyDescent="0.3">
      <c r="C26" t="str">
        <f>C18</f>
        <v>FY2025</v>
      </c>
      <c r="E26" s="7" t="s">
        <v>14</v>
      </c>
      <c r="G26" s="122" cm="1">
        <f t="array" ref="G26:G30">TRANSPOSE(Synergy!$G$67:$K$67-Finance!G20)</f>
        <v>9037.9634517214763</v>
      </c>
      <c r="H26" s="122" cm="1">
        <f t="array" ref="H26:H30">TRANSPOSE(Synergy!$G$67:$K$67-Finance!H20)</f>
        <v>9024.5164333720131</v>
      </c>
      <c r="I26" s="122" cm="1">
        <f t="array" ref="I26:I30">TRANSPOSE(Synergy!$G$67:$K$67-Finance!I20)</f>
        <v>9011.0694150225481</v>
      </c>
      <c r="J26" s="122" cm="1">
        <f t="array" ref="J26:J30">TRANSPOSE(Synergy!$G$67:$K$67-Finance!J20)</f>
        <v>8997.6223966730849</v>
      </c>
      <c r="K26" s="122" cm="1">
        <f t="array" ref="K26:K30">TRANSPOSE(Synergy!$G$67:$K$67-Finance!K20)</f>
        <v>8984.1753783236218</v>
      </c>
      <c r="L26" s="122" cm="1">
        <f t="array" ref="L26:L30">TRANSPOSE(Synergy!$G$67:$K$67-Finance!L20)</f>
        <v>8970.7283599741568</v>
      </c>
    </row>
    <row r="27" spans="1:12" x14ac:dyDescent="0.3">
      <c r="C27" t="str">
        <f t="shared" ref="C27:C29" si="1">C19</f>
        <v>FY2026</v>
      </c>
      <c r="E27" s="7" t="s">
        <v>14</v>
      </c>
      <c r="G27" s="122">
        <v>10620.420110236046</v>
      </c>
      <c r="H27" s="122">
        <v>10606.973091886583</v>
      </c>
      <c r="I27" s="122">
        <v>10593.526073537118</v>
      </c>
      <c r="J27" s="122">
        <v>10580.079055187654</v>
      </c>
      <c r="K27" s="122">
        <v>10566.632036838191</v>
      </c>
      <c r="L27" s="122">
        <v>10553.185018488726</v>
      </c>
    </row>
    <row r="28" spans="1:12" x14ac:dyDescent="0.3">
      <c r="C28" t="str">
        <f t="shared" si="1"/>
        <v>FY2027</v>
      </c>
      <c r="E28" s="7" t="s">
        <v>14</v>
      </c>
      <c r="G28" s="122">
        <v>12445.976077307361</v>
      </c>
      <c r="H28" s="122">
        <v>12432.529058957898</v>
      </c>
      <c r="I28" s="122">
        <v>12419.082040608433</v>
      </c>
      <c r="J28" s="122">
        <v>12405.63502225897</v>
      </c>
      <c r="K28" s="122">
        <v>12392.188003909507</v>
      </c>
      <c r="L28" s="122">
        <v>12378.740985560042</v>
      </c>
    </row>
    <row r="29" spans="1:12" x14ac:dyDescent="0.3">
      <c r="C29" t="str">
        <f t="shared" si="1"/>
        <v>FY2028</v>
      </c>
      <c r="E29" s="7" t="s">
        <v>14</v>
      </c>
      <c r="G29" s="122">
        <v>14537.917658068138</v>
      </c>
      <c r="H29" s="122">
        <v>14524.470639718675</v>
      </c>
      <c r="I29" s="122">
        <v>14511.02362136921</v>
      </c>
      <c r="J29" s="122">
        <v>14497.576603019746</v>
      </c>
      <c r="K29" s="122">
        <v>14484.129584670283</v>
      </c>
      <c r="L29" s="122">
        <v>14470.682566320818</v>
      </c>
    </row>
    <row r="30" spans="1:12" x14ac:dyDescent="0.3">
      <c r="C30" t="str">
        <f>C22</f>
        <v>FY2029</v>
      </c>
      <c r="E30" s="7" t="s">
        <v>14</v>
      </c>
      <c r="G30" s="122">
        <v>16949.582031771319</v>
      </c>
      <c r="H30" s="122">
        <v>16936.135013421856</v>
      </c>
      <c r="I30" s="122">
        <v>16922.687995072392</v>
      </c>
      <c r="J30" s="122">
        <v>16909.240976722926</v>
      </c>
      <c r="K30" s="122">
        <v>16895.793958373462</v>
      </c>
      <c r="L30" s="122">
        <v>16882.346940023999</v>
      </c>
    </row>
    <row r="32" spans="1:12" x14ac:dyDescent="0.3">
      <c r="B32" s="2" t="s">
        <v>185</v>
      </c>
    </row>
    <row r="33" spans="2:12" x14ac:dyDescent="0.3">
      <c r="C33" t="str">
        <f>C26</f>
        <v>FY2025</v>
      </c>
      <c r="E33" s="7" t="s">
        <v>5</v>
      </c>
      <c r="G33" s="122">
        <f>G26/Plan!G$15</f>
        <v>310.80503284867848</v>
      </c>
      <c r="H33" s="122">
        <f>H26/Plan!H$15</f>
        <v>310.06953857634306</v>
      </c>
      <c r="I33" s="122">
        <f>I26/Plan!I$15</f>
        <v>309.33534809146738</v>
      </c>
      <c r="J33" s="122">
        <f>J26/Plan!J$15</f>
        <v>308.60244729860739</v>
      </c>
      <c r="K33" s="122">
        <f>K26/Plan!K$15</f>
        <v>307.87082225234599</v>
      </c>
      <c r="L33" s="122">
        <f>L26/Plan!L$15</f>
        <v>307.1404907038949</v>
      </c>
    </row>
    <row r="34" spans="2:12" x14ac:dyDescent="0.3">
      <c r="C34" t="str">
        <f t="shared" ref="C34:C37" si="2">C27</f>
        <v>FY2026</v>
      </c>
      <c r="E34" s="7" t="s">
        <v>5</v>
      </c>
      <c r="G34" s="122">
        <f>G27/Plan!G$15</f>
        <v>365.2238735928895</v>
      </c>
      <c r="H34" s="122">
        <f>H27/Plan!H$15</f>
        <v>364.44049679280835</v>
      </c>
      <c r="I34" s="122">
        <f>I27/Plan!I$15</f>
        <v>363.65850983353459</v>
      </c>
      <c r="J34" s="122">
        <f>J27/Plan!J$15</f>
        <v>362.87789652641032</v>
      </c>
      <c r="K34" s="122">
        <f>K27/Plan!K$15</f>
        <v>362.0986408466984</v>
      </c>
      <c r="L34" s="122">
        <f>L27/Plan!L$15</f>
        <v>361.3207640451792</v>
      </c>
    </row>
    <row r="35" spans="2:12" x14ac:dyDescent="0.3">
      <c r="C35" t="str">
        <f t="shared" si="2"/>
        <v>FY2027</v>
      </c>
      <c r="E35" s="7" t="s">
        <v>5</v>
      </c>
      <c r="G35" s="122">
        <f>G28/Plan!G$15</f>
        <v>428.0026163200057</v>
      </c>
      <c r="H35" s="122">
        <f>H28/Plan!H$15</f>
        <v>427.16400120816775</v>
      </c>
      <c r="I35" s="122">
        <f>I28/Plan!I$15</f>
        <v>426.32687521012599</v>
      </c>
      <c r="J35" s="122">
        <f>J28/Plan!J$15</f>
        <v>425.49121972244637</v>
      </c>
      <c r="K35" s="122">
        <f>K28/Plan!K$15</f>
        <v>424.65701632164308</v>
      </c>
      <c r="L35" s="122">
        <f>L28/Plan!L$15</f>
        <v>423.82429029567447</v>
      </c>
    </row>
    <row r="36" spans="2:12" x14ac:dyDescent="0.3">
      <c r="C36" t="str">
        <f t="shared" si="2"/>
        <v>FY2028</v>
      </c>
      <c r="E36" s="7" t="s">
        <v>5</v>
      </c>
      <c r="G36" s="122">
        <f>G29/Plan!G$15</f>
        <v>499.94204993234536</v>
      </c>
      <c r="H36" s="122">
        <f>H29/Plan!H$15</f>
        <v>499.04013611956401</v>
      </c>
      <c r="I36" s="122">
        <f>I29/Plan!I$15</f>
        <v>498.1398251795087</v>
      </c>
      <c r="J36" s="122">
        <f>J29/Plan!J$15</f>
        <v>497.24109574160434</v>
      </c>
      <c r="K36" s="122">
        <f>K29/Plan!K$15</f>
        <v>496.34392663359063</v>
      </c>
      <c r="L36" s="122">
        <f>L29/Plan!L$15</f>
        <v>495.4483477697097</v>
      </c>
    </row>
    <row r="37" spans="2:12" x14ac:dyDescent="0.3">
      <c r="C37" t="str">
        <f t="shared" si="2"/>
        <v>FY2029</v>
      </c>
      <c r="E37" s="7" t="s">
        <v>5</v>
      </c>
      <c r="G37" s="122">
        <f>G30/Plan!G$15</f>
        <v>582.87637788053325</v>
      </c>
      <c r="H37" s="122">
        <f>H30/Plan!H$15</f>
        <v>581.90149108257344</v>
      </c>
      <c r="I37" s="122">
        <f>I30/Plan!I$15</f>
        <v>580.92833830266477</v>
      </c>
      <c r="J37" s="122">
        <f>J30/Plan!J$15</f>
        <v>579.9568949801735</v>
      </c>
      <c r="K37" s="122">
        <f>K30/Plan!K$15</f>
        <v>578.98713677395506</v>
      </c>
      <c r="L37" s="122">
        <f>L30/Plan!L$15</f>
        <v>578.01909893159529</v>
      </c>
    </row>
    <row r="39" spans="2:12" x14ac:dyDescent="0.3">
      <c r="B39" s="2" t="s">
        <v>220</v>
      </c>
      <c r="G39" s="123">
        <f>G25</f>
        <v>0</v>
      </c>
      <c r="H39" s="123">
        <f t="shared" ref="H39:L39" si="3">H25</f>
        <v>0.1</v>
      </c>
      <c r="I39" s="123">
        <f t="shared" si="3"/>
        <v>0.2</v>
      </c>
      <c r="J39" s="123">
        <f t="shared" si="3"/>
        <v>0.3</v>
      </c>
      <c r="K39" s="123">
        <f t="shared" si="3"/>
        <v>0.4</v>
      </c>
      <c r="L39" s="123">
        <f t="shared" si="3"/>
        <v>0.5</v>
      </c>
    </row>
    <row r="40" spans="2:12" x14ac:dyDescent="0.3">
      <c r="C40" t="str">
        <f>C33</f>
        <v>FY2025</v>
      </c>
      <c r="G40" s="124">
        <f>G33/$G11-1</f>
        <v>-2.4268593780120473E-2</v>
      </c>
      <c r="H40" s="124">
        <f t="shared" ref="H40:K40" si="4">H33/$G11-1</f>
        <v>-2.6577581038257692E-2</v>
      </c>
      <c r="I40" s="124">
        <f t="shared" si="4"/>
        <v>-2.8882475227631321E-2</v>
      </c>
      <c r="J40" s="124">
        <f t="shared" si="4"/>
        <v>-3.1183320599028841E-2</v>
      </c>
      <c r="K40" s="124">
        <f t="shared" si="4"/>
        <v>-3.3480160932247927E-2</v>
      </c>
      <c r="L40" s="124">
        <f>L33/$G11-1</f>
        <v>-3.577294049970059E-2</v>
      </c>
    </row>
    <row r="41" spans="2:12" x14ac:dyDescent="0.3">
      <c r="C41" t="str">
        <f t="shared" ref="C41:C44" si="5">C34</f>
        <v>FY2026</v>
      </c>
      <c r="G41" s="124">
        <f t="shared" ref="G41:L44" si="6">G34/$G12-1</f>
        <v>4.6016644228272785E-3</v>
      </c>
      <c r="H41" s="124">
        <f t="shared" si="6"/>
        <v>2.4468719951311613E-3</v>
      </c>
      <c r="I41" s="124">
        <f t="shared" si="6"/>
        <v>2.959025277873284E-4</v>
      </c>
      <c r="J41" s="124">
        <f t="shared" si="6"/>
        <v>-1.8512885084749353E-3</v>
      </c>
      <c r="K41" s="124">
        <f t="shared" si="6"/>
        <v>-3.9947451920381294E-3</v>
      </c>
      <c r="L41" s="124">
        <f t="shared" si="6"/>
        <v>-6.134409069523783E-3</v>
      </c>
    </row>
    <row r="42" spans="2:12" x14ac:dyDescent="0.3">
      <c r="C42" t="str">
        <f t="shared" si="5"/>
        <v>FY2027</v>
      </c>
      <c r="G42" s="124">
        <f t="shared" si="6"/>
        <v>3.1510498681431853E-2</v>
      </c>
      <c r="H42" s="124">
        <f t="shared" si="6"/>
        <v>2.9489388858198851E-2</v>
      </c>
      <c r="I42" s="124">
        <f t="shared" si="6"/>
        <v>2.7471867883388734E-2</v>
      </c>
      <c r="J42" s="124">
        <f t="shared" si="6"/>
        <v>2.5457890921673609E-2</v>
      </c>
      <c r="K42" s="124">
        <f t="shared" si="6"/>
        <v>2.3447413571411335E-2</v>
      </c>
      <c r="L42" s="124">
        <f t="shared" si="6"/>
        <v>2.1440496778011076E-2</v>
      </c>
    </row>
    <row r="43" spans="2:12" x14ac:dyDescent="0.3">
      <c r="C43" t="str">
        <f t="shared" si="5"/>
        <v>FY2028</v>
      </c>
      <c r="G43" s="124">
        <f t="shared" si="6"/>
        <v>5.5697247233116309E-2</v>
      </c>
      <c r="H43" s="124">
        <f t="shared" si="6"/>
        <v>5.3792730640595865E-2</v>
      </c>
      <c r="I43" s="124">
        <f t="shared" si="6"/>
        <v>5.1891598737010547E-2</v>
      </c>
      <c r="J43" s="124">
        <f t="shared" si="6"/>
        <v>4.9993806395415508E-2</v>
      </c>
      <c r="K43" s="124">
        <f t="shared" si="6"/>
        <v>4.8099308907634919E-2</v>
      </c>
      <c r="L43" s="124">
        <f t="shared" si="6"/>
        <v>4.620816944175643E-2</v>
      </c>
    </row>
    <row r="44" spans="2:12" x14ac:dyDescent="0.3">
      <c r="C44" t="str">
        <f t="shared" si="5"/>
        <v>FY2029</v>
      </c>
      <c r="G44" s="124">
        <f t="shared" si="6"/>
        <v>7.8421832023529925E-2</v>
      </c>
      <c r="H44" s="124">
        <f t="shared" si="6"/>
        <v>7.661812330146045E-2</v>
      </c>
      <c r="I44" s="124">
        <f t="shared" si="6"/>
        <v>7.4817622811864215E-2</v>
      </c>
      <c r="J44" s="124">
        <f t="shared" si="6"/>
        <v>7.3020285113333028E-2</v>
      </c>
      <c r="K44" s="124">
        <f t="shared" si="6"/>
        <v>7.1226065170550745E-2</v>
      </c>
      <c r="L44" s="124">
        <f t="shared" si="6"/>
        <v>6.943502819763081E-2</v>
      </c>
    </row>
  </sheetData>
  <phoneticPr fontId="15" type="noConversion"/>
  <conditionalFormatting sqref="G40:L4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7676-E275-493B-80B4-44D346F8A246}">
  <dimension ref="A1:R35"/>
  <sheetViews>
    <sheetView showGridLines="0" workbookViewId="0">
      <pane xSplit="5" ySplit="1" topLeftCell="F4" activePane="bottomRight" state="frozen"/>
      <selection pane="topRight" activeCell="E1" sqref="E1"/>
      <selection pane="bottomLeft" activeCell="A3" sqref="A3"/>
      <selection pane="bottomRight" activeCell="S8" sqref="S8"/>
    </sheetView>
  </sheetViews>
  <sheetFormatPr defaultRowHeight="14.4" x14ac:dyDescent="0.3"/>
  <cols>
    <col min="1" max="1" width="3" style="6" customWidth="1"/>
    <col min="2" max="3" width="3" customWidth="1"/>
    <col min="4" max="4" width="33.44140625" customWidth="1"/>
    <col min="5" max="5" width="5.21875" style="7" bestFit="1" customWidth="1"/>
    <col min="6" max="6" width="8.77734375" style="6" customWidth="1"/>
    <col min="7" max="7" width="12" style="6" bestFit="1" customWidth="1"/>
    <col min="8" max="10" width="8.77734375" style="6" customWidth="1"/>
    <col min="11" max="11" width="9.6640625" style="6" bestFit="1" customWidth="1"/>
    <col min="12" max="15" width="8.77734375" style="6" customWidth="1"/>
    <col min="16" max="16" width="20.77734375" style="7" customWidth="1"/>
    <col min="17" max="18" width="12.77734375" style="7" customWidth="1"/>
  </cols>
  <sheetData>
    <row r="1" spans="1:18" s="137" customFormat="1" ht="25.8" customHeight="1" x14ac:dyDescent="0.3">
      <c r="A1" s="103" t="s">
        <v>158</v>
      </c>
      <c r="B1" s="85"/>
      <c r="C1" s="85"/>
      <c r="D1" s="85"/>
      <c r="E1" s="12" t="s">
        <v>1</v>
      </c>
      <c r="F1" s="45" t="s">
        <v>58</v>
      </c>
      <c r="G1" s="45" t="str">
        <f>IS!G3</f>
        <v>FY21A</v>
      </c>
      <c r="H1" s="45" t="str">
        <f>IS!H3</f>
        <v>FY22A</v>
      </c>
      <c r="I1" s="45" t="str">
        <f>IS!I3</f>
        <v>FY23A</v>
      </c>
      <c r="J1" s="45" t="str">
        <f>IS!J3</f>
        <v>FY24A</v>
      </c>
      <c r="K1" s="45" t="str">
        <f>IS!K3</f>
        <v>FY25E</v>
      </c>
      <c r="L1" s="45" t="str">
        <f>IS!L3</f>
        <v>FY26E</v>
      </c>
      <c r="M1" s="45" t="str">
        <f>IS!M3</f>
        <v>FY27E</v>
      </c>
      <c r="N1" s="45" t="str">
        <f>IS!N3</f>
        <v>FY28E</v>
      </c>
      <c r="O1" s="45" t="str">
        <f>IS!O3</f>
        <v>FY29E</v>
      </c>
      <c r="P1" s="45" t="s">
        <v>160</v>
      </c>
      <c r="Q1" s="45" t="s">
        <v>161</v>
      </c>
      <c r="R1" s="45" t="s">
        <v>162</v>
      </c>
    </row>
    <row r="3" spans="1:18" x14ac:dyDescent="0.3">
      <c r="A3" s="6" t="s">
        <v>68</v>
      </c>
      <c r="B3" s="147" t="s">
        <v>159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06"/>
      <c r="R3" s="106"/>
    </row>
    <row r="4" spans="1:18" s="6" customFormat="1" x14ac:dyDescent="0.3"/>
    <row r="5" spans="1:18" ht="19.95" customHeight="1" x14ac:dyDescent="0.3">
      <c r="B5" s="2" t="s">
        <v>163</v>
      </c>
      <c r="C5" s="2"/>
    </row>
    <row r="6" spans="1:18" ht="19.95" customHeight="1" x14ac:dyDescent="0.3">
      <c r="C6" s="5" t="s">
        <v>165</v>
      </c>
      <c r="E6" s="7" t="s">
        <v>45</v>
      </c>
      <c r="F6" s="107" t="s">
        <v>169</v>
      </c>
      <c r="G6" s="104">
        <f>IS!G11/IS!F11-1</f>
        <v>6.2465482075033885E-2</v>
      </c>
      <c r="H6" s="104">
        <f>IS!H11/IS!G11-1</f>
        <v>0.17308259590435759</v>
      </c>
      <c r="I6" s="104">
        <f>IS!I11/IS!H11-1</f>
        <v>0.21046734048522908</v>
      </c>
      <c r="J6" s="104">
        <f>IS!J11/IS!I11-1</f>
        <v>0.11926540728722479</v>
      </c>
      <c r="K6" s="109">
        <f>IS!K11/IS!J11-1</f>
        <v>0.1413202064379615</v>
      </c>
      <c r="L6" s="109">
        <f>IS!L11/IS!K11-1</f>
        <v>0.14132020643796128</v>
      </c>
      <c r="M6" s="109">
        <f>IS!M11/IS!L11-1</f>
        <v>0.14132020643796128</v>
      </c>
      <c r="N6" s="109">
        <f>IS!N11/IS!M11-1</f>
        <v>0.1413202064379615</v>
      </c>
      <c r="O6" s="109">
        <f>IS!O11/IS!N11-1</f>
        <v>0.14132020643796128</v>
      </c>
      <c r="P6" s="117"/>
      <c r="Q6" s="108">
        <f>AVERAGE(G6:O6)</f>
        <v>0.14132020643796137</v>
      </c>
      <c r="R6" s="108">
        <f>MEDIAN(G6:O6)</f>
        <v>0.14132020643796128</v>
      </c>
    </row>
    <row r="7" spans="1:18" ht="19.95" customHeight="1" x14ac:dyDescent="0.3">
      <c r="C7" s="5" t="s">
        <v>166</v>
      </c>
      <c r="E7" s="7" t="s">
        <v>45</v>
      </c>
      <c r="F7" s="107" t="s">
        <v>169</v>
      </c>
      <c r="G7" s="104">
        <f>IS!G15/IS!F15-1</f>
        <v>0.10269268465676284</v>
      </c>
      <c r="H7" s="104">
        <f>IS!H15/IS!G15-1</f>
        <v>7.850956126766917E-2</v>
      </c>
      <c r="I7" s="104">
        <f>IS!I15/IS!H15-1</f>
        <v>6.8228086667341259E-3</v>
      </c>
      <c r="J7" s="104">
        <f>IS!J15/IS!I15-1</f>
        <v>0.22403518016343438</v>
      </c>
      <c r="K7" s="109">
        <f>IS!K15/IS!J15-1</f>
        <v>0.22387437673046207</v>
      </c>
      <c r="L7" s="109">
        <f>IS!L15/IS!K15-1</f>
        <v>0.14132020643796106</v>
      </c>
      <c r="M7" s="109">
        <f>IS!M15/IS!L15-1</f>
        <v>0.1413202064379615</v>
      </c>
      <c r="N7" s="109">
        <f>IS!N15/IS!M15-1</f>
        <v>0.1413202064379615</v>
      </c>
      <c r="O7" s="109">
        <f>IS!O15/IS!N15-1</f>
        <v>0.14132020643796106</v>
      </c>
      <c r="P7" s="117"/>
      <c r="Q7" s="108">
        <f t="shared" ref="Q7:Q10" si="0">AVERAGE(G7:O7)</f>
        <v>0.13346838191521196</v>
      </c>
      <c r="R7" s="108">
        <f t="shared" ref="R7:R10" si="1">MEDIAN(G7:O7)</f>
        <v>0.14132020643796106</v>
      </c>
    </row>
    <row r="8" spans="1:18" ht="19.95" customHeight="1" x14ac:dyDescent="0.3">
      <c r="C8" s="5" t="s">
        <v>170</v>
      </c>
      <c r="E8" s="7" t="s">
        <v>45</v>
      </c>
      <c r="F8" s="107" t="s">
        <v>169</v>
      </c>
      <c r="G8" s="104">
        <f>IS!G19/IS!F19-1</f>
        <v>0.26727228598176378</v>
      </c>
      <c r="H8" s="104">
        <f>IS!H19/IS!G19-1</f>
        <v>-2.5901017982968844E-3</v>
      </c>
      <c r="I8" s="104">
        <f>IS!I19/IS!H19-1</f>
        <v>-9.1916733263717965E-2</v>
      </c>
      <c r="J8" s="104">
        <f>IS!J19/IS!I19-1</f>
        <v>0.27075131051899004</v>
      </c>
      <c r="K8" s="109">
        <f>IS!K19/IS!J19-1</f>
        <v>0.27678638904114083</v>
      </c>
      <c r="L8" s="109">
        <f>IS!L19/IS!K19-1</f>
        <v>0.14132020643796128</v>
      </c>
      <c r="M8" s="109">
        <f>IS!M19/IS!L19-1</f>
        <v>0.1413202064379615</v>
      </c>
      <c r="N8" s="109">
        <f>IS!N19/IS!M19-1</f>
        <v>0.1413202064379615</v>
      </c>
      <c r="O8" s="109">
        <f>IS!O19/IS!N19-1</f>
        <v>0.14132020643796106</v>
      </c>
      <c r="P8" s="117"/>
      <c r="Q8" s="108">
        <f t="shared" si="0"/>
        <v>0.14284266402574725</v>
      </c>
      <c r="R8" s="108">
        <f t="shared" si="1"/>
        <v>0.1413202064379615</v>
      </c>
    </row>
    <row r="9" spans="1:18" ht="19.95" customHeight="1" x14ac:dyDescent="0.3">
      <c r="C9" s="5" t="s">
        <v>171</v>
      </c>
      <c r="E9" s="7" t="s">
        <v>45</v>
      </c>
      <c r="F9" s="107" t="s">
        <v>169</v>
      </c>
      <c r="G9" s="104">
        <f>IS!G23/IS!F23-1</f>
        <v>0.37645948300900622</v>
      </c>
      <c r="H9" s="104">
        <f>IS!H23/IS!G23-1</f>
        <v>-5.9562954913388033E-3</v>
      </c>
      <c r="I9" s="104">
        <f>IS!I23/IS!H23-1</f>
        <v>-0.13770835151409255</v>
      </c>
      <c r="J9" s="104">
        <f>IS!J23/IS!I23-1</f>
        <v>0.31191311744899219</v>
      </c>
      <c r="K9" s="109">
        <f>IS!K23/IS!J23-1</f>
        <v>0.26802709709735018</v>
      </c>
      <c r="L9" s="109">
        <f>IS!L23/IS!K23-1</f>
        <v>0.14132020643796128</v>
      </c>
      <c r="M9" s="109">
        <f>IS!M23/IS!L23-1</f>
        <v>0.1413202064379615</v>
      </c>
      <c r="N9" s="109">
        <f>IS!N23/IS!M23-1</f>
        <v>0.1413202064379615</v>
      </c>
      <c r="O9" s="109">
        <f>IS!O23/IS!N23-1</f>
        <v>0.14132020643796084</v>
      </c>
      <c r="P9" s="117"/>
      <c r="Q9" s="108">
        <f t="shared" si="0"/>
        <v>0.15311287514464028</v>
      </c>
      <c r="R9" s="108">
        <f t="shared" si="1"/>
        <v>0.1413202064379615</v>
      </c>
    </row>
    <row r="10" spans="1:18" ht="19.95" customHeight="1" x14ac:dyDescent="0.3">
      <c r="C10" s="5" t="s">
        <v>172</v>
      </c>
      <c r="E10" s="7" t="s">
        <v>45</v>
      </c>
      <c r="F10" s="107" t="s">
        <v>169</v>
      </c>
      <c r="G10" s="104">
        <f>IS!G34/IS!F34-1</f>
        <v>-2.0799040974860183E-2</v>
      </c>
      <c r="H10" s="104">
        <f>IS!H34/IS!G34-1</f>
        <v>0.32280932297779663</v>
      </c>
      <c r="I10" s="104">
        <f>IS!I34/IS!H34-1</f>
        <v>-0.30420262249983587</v>
      </c>
      <c r="J10" s="104">
        <f>IS!J34/IS!I34-1</f>
        <v>0.40431940580204961</v>
      </c>
      <c r="K10" s="109">
        <f>IS!K34/IS!J34-1</f>
        <v>0.32966815050918918</v>
      </c>
      <c r="L10" s="109">
        <f>IS!L34/IS!K34-1</f>
        <v>0.14132020643796128</v>
      </c>
      <c r="M10" s="109">
        <f>IS!M34/IS!L34-1</f>
        <v>0.1413202064379615</v>
      </c>
      <c r="N10" s="109">
        <f>IS!N34/IS!M34-1</f>
        <v>0.14132020643796128</v>
      </c>
      <c r="O10" s="109">
        <f>IS!O34/IS!N34-1</f>
        <v>0.14132020643796084</v>
      </c>
      <c r="P10" s="117"/>
      <c r="Q10" s="108">
        <f t="shared" si="0"/>
        <v>0.1441195601740205</v>
      </c>
      <c r="R10" s="108">
        <f t="shared" si="1"/>
        <v>0.14132020643796128</v>
      </c>
    </row>
    <row r="11" spans="1:18" ht="19.95" customHeight="1" x14ac:dyDescent="0.3">
      <c r="G11" s="105"/>
      <c r="H11" s="105"/>
      <c r="I11" s="105"/>
      <c r="J11" s="105"/>
      <c r="K11" s="110"/>
      <c r="L11" s="110"/>
      <c r="M11" s="110"/>
      <c r="N11" s="110"/>
      <c r="O11" s="110"/>
      <c r="P11" s="117"/>
    </row>
    <row r="12" spans="1:18" ht="19.95" customHeight="1" x14ac:dyDescent="0.3">
      <c r="C12" s="5" t="s">
        <v>74</v>
      </c>
      <c r="E12" s="7" t="s">
        <v>45</v>
      </c>
      <c r="F12" s="104">
        <f>IS!F15/IS!F11</f>
        <v>0.40511479078170576</v>
      </c>
      <c r="G12" s="104">
        <f>IS!G15/IS!G11</f>
        <v>0.42045329827448802</v>
      </c>
      <c r="H12" s="104">
        <f>IS!H15/IS!H11</f>
        <v>0.38655667029649948</v>
      </c>
      <c r="I12" s="104">
        <f>IS!I15/IS!I11</f>
        <v>0.32152381107677769</v>
      </c>
      <c r="J12" s="104">
        <f>IS!J15/IS!J11</f>
        <v>0.35162031583917569</v>
      </c>
      <c r="K12" s="109">
        <f>IS!K15/IS!K11</f>
        <v>0.37705377725372924</v>
      </c>
      <c r="L12" s="109">
        <f>IS!L15/IS!L11</f>
        <v>0.37705377725372918</v>
      </c>
      <c r="M12" s="109">
        <f>IS!M15/IS!M11</f>
        <v>0.37705377725372924</v>
      </c>
      <c r="N12" s="109">
        <f>IS!N15/IS!N11</f>
        <v>0.37705377725372929</v>
      </c>
      <c r="O12" s="109">
        <f>IS!O15/IS!O11</f>
        <v>0.37705377725372924</v>
      </c>
      <c r="P12" s="117"/>
      <c r="Q12" s="108">
        <f t="shared" ref="Q12" si="2">AVERAGE(G12:O12)</f>
        <v>0.37393588686173196</v>
      </c>
      <c r="R12" s="108">
        <f t="shared" ref="R12" si="3">MEDIAN(G12:O12)</f>
        <v>0.37705377725372924</v>
      </c>
    </row>
    <row r="13" spans="1:18" ht="19.95" customHeight="1" x14ac:dyDescent="0.3">
      <c r="C13" s="5" t="s">
        <v>77</v>
      </c>
      <c r="E13" s="7" t="s">
        <v>45</v>
      </c>
      <c r="F13" s="104">
        <f>IS!F19/IS!F11</f>
        <v>0.2128530545642135</v>
      </c>
      <c r="G13" s="104">
        <f>IS!G19/IS!G11</f>
        <v>0.2538838028968004</v>
      </c>
      <c r="H13" s="104">
        <f>IS!H19/IS!H11</f>
        <v>0.21586392883711719</v>
      </c>
      <c r="I13" s="104">
        <f>IS!I19/IS!I11</f>
        <v>0.16193945521104267</v>
      </c>
      <c r="J13" s="104">
        <f>IS!J19/IS!J11</f>
        <v>0.18385699548503556</v>
      </c>
      <c r="K13" s="109">
        <f>IS!K19/IS!K11</f>
        <v>0.20567944739884172</v>
      </c>
      <c r="L13" s="109">
        <f>IS!L19/IS!L11</f>
        <v>0.20567944739884175</v>
      </c>
      <c r="M13" s="109">
        <f>IS!M19/IS!M11</f>
        <v>0.20567944739884175</v>
      </c>
      <c r="N13" s="109">
        <f>IS!N19/IS!N11</f>
        <v>0.20567944739884178</v>
      </c>
      <c r="O13" s="109">
        <f>IS!O19/IS!O11</f>
        <v>0.20567944739884175</v>
      </c>
      <c r="P13" s="117"/>
      <c r="Q13" s="108">
        <f t="shared" ref="Q13:Q14" si="4">AVERAGE(G13:O13)</f>
        <v>0.20488237993602271</v>
      </c>
      <c r="R13" s="108">
        <f t="shared" ref="R13:R14" si="5">MEDIAN(G13:O13)</f>
        <v>0.20567944739884175</v>
      </c>
    </row>
    <row r="14" spans="1:18" ht="19.95" customHeight="1" x14ac:dyDescent="0.3">
      <c r="C14" s="5" t="s">
        <v>167</v>
      </c>
      <c r="E14" s="7" t="s">
        <v>45</v>
      </c>
      <c r="F14" s="104">
        <f>IS!F23/IS!F11</f>
        <v>0.15246067754888945</v>
      </c>
      <c r="G14" s="104">
        <f>IS!G23/IS!G11</f>
        <v>0.19751789487625596</v>
      </c>
      <c r="H14" s="104">
        <f>IS!H23/IS!H11</f>
        <v>0.16737220432307365</v>
      </c>
      <c r="I14" s="104">
        <f>IS!I23/IS!I11</f>
        <v>0.1192296967868704</v>
      </c>
      <c r="J14" s="104">
        <f>IS!J23/IS!J11</f>
        <v>0.13975148538118015</v>
      </c>
      <c r="K14" s="109">
        <f>IS!K23/IS!K11</f>
        <v>0.1552663917832538</v>
      </c>
      <c r="L14" s="109">
        <f>IS!L23/IS!L11</f>
        <v>0.1552663917832538</v>
      </c>
      <c r="M14" s="109">
        <f>IS!M23/IS!M11</f>
        <v>0.15526639178325383</v>
      </c>
      <c r="N14" s="109">
        <f>IS!N23/IS!N11</f>
        <v>0.15526639178325385</v>
      </c>
      <c r="O14" s="109">
        <f>IS!O23/IS!O11</f>
        <v>0.1552663917832538</v>
      </c>
      <c r="P14" s="117"/>
      <c r="Q14" s="108">
        <f t="shared" si="4"/>
        <v>0.15557813780929433</v>
      </c>
      <c r="R14" s="108">
        <f t="shared" si="5"/>
        <v>0.1552663917832538</v>
      </c>
    </row>
    <row r="15" spans="1:18" ht="19.95" customHeight="1" x14ac:dyDescent="0.3">
      <c r="C15" s="5" t="s">
        <v>168</v>
      </c>
      <c r="E15" s="7" t="s">
        <v>45</v>
      </c>
      <c r="F15" s="104">
        <f>IS!F34/IS!F11</f>
        <v>0.13421036641092524</v>
      </c>
      <c r="G15" s="104">
        <f>IS!G34/IS!G11</f>
        <v>0.12369241327636117</v>
      </c>
      <c r="H15" s="104">
        <f>IS!H34/IS!H11</f>
        <v>0.13947992923503688</v>
      </c>
      <c r="I15" s="104">
        <f>IS!I34/IS!I11</f>
        <v>8.0175454330509779E-2</v>
      </c>
      <c r="J15" s="104">
        <f>IS!J34/IS!J11</f>
        <v>0.10059450211922581</v>
      </c>
      <c r="K15" s="109">
        <f>IS!K34/IS!K11</f>
        <v>0.11719524882654772</v>
      </c>
      <c r="L15" s="109">
        <f>IS!L34/IS!L11</f>
        <v>0.11719524882654772</v>
      </c>
      <c r="M15" s="109">
        <f>IS!M34/IS!M11</f>
        <v>0.11719524882654775</v>
      </c>
      <c r="N15" s="109">
        <f>IS!N34/IS!N11</f>
        <v>0.11719524882654773</v>
      </c>
      <c r="O15" s="109">
        <f>IS!O34/IS!O11</f>
        <v>0.11719524882654769</v>
      </c>
      <c r="P15" s="117"/>
      <c r="Q15" s="108">
        <f t="shared" ref="Q15:R17" si="6">AVERAGE(G15:O15)</f>
        <v>0.11443539367709692</v>
      </c>
      <c r="R15" s="108">
        <f t="shared" si="6"/>
        <v>0.1132782662271889</v>
      </c>
    </row>
    <row r="16" spans="1:18" ht="19.95" customHeight="1" x14ac:dyDescent="0.3">
      <c r="C16" s="5"/>
      <c r="F16" s="104"/>
      <c r="G16" s="104"/>
      <c r="H16" s="104"/>
      <c r="I16" s="104"/>
      <c r="J16" s="104"/>
      <c r="K16" s="109"/>
      <c r="L16" s="109"/>
      <c r="M16" s="109"/>
      <c r="N16" s="109"/>
      <c r="O16" s="109"/>
      <c r="P16" s="117"/>
      <c r="Q16" s="108"/>
      <c r="R16" s="108"/>
    </row>
    <row r="17" spans="1:18" ht="19.95" customHeight="1" x14ac:dyDescent="0.3">
      <c r="B17" s="2" t="s">
        <v>202</v>
      </c>
      <c r="C17" s="5"/>
      <c r="E17" s="7" t="s">
        <v>45</v>
      </c>
      <c r="F17" s="104">
        <f>IS!F23/('Data Sheet'!$F$38+'Data Sheet'!$F$41)</f>
        <v>7.5482857532957387E-2</v>
      </c>
      <c r="G17" s="104">
        <f>IS!G23/('Data Sheet'!$F$38+'Data Sheet'!$F$41)</f>
        <v>0.10389909505585698</v>
      </c>
      <c r="H17" s="104">
        <f>IS!H23/('Data Sheet'!$F$38+'Data Sheet'!$F$41)</f>
        <v>0.1032802413444216</v>
      </c>
      <c r="I17" s="104">
        <f>IS!I23/('Data Sheet'!$F$38+'Data Sheet'!$F$41)</f>
        <v>8.9057689564903675E-2</v>
      </c>
      <c r="J17" s="104">
        <f>IS!J23/('Data Sheet'!$F$38+'Data Sheet'!$F$41)</f>
        <v>0.11683595114989735</v>
      </c>
      <c r="K17" s="109">
        <f>IS!K23/('Data Sheet'!$F$38+'Data Sheet'!$F$41)</f>
        <v>0.14815115197321213</v>
      </c>
      <c r="L17" s="109">
        <f>IS!L23/('Data Sheet'!$F$38+'Data Sheet'!$F$41)</f>
        <v>0.16908790335408824</v>
      </c>
      <c r="M17" s="109">
        <f>IS!M23/('Data Sheet'!$F$38+'Data Sheet'!$F$41)</f>
        <v>0.1929834407622501</v>
      </c>
      <c r="N17" s="109">
        <f>IS!N23/('Data Sheet'!$F$38+'Data Sheet'!$F$41)</f>
        <v>0.22025590044987939</v>
      </c>
      <c r="O17" s="109">
        <f>IS!O23/('Data Sheet'!$F$38+'Data Sheet'!$F$41)</f>
        <v>0.25138250977063531</v>
      </c>
      <c r="P17" s="117"/>
      <c r="Q17" s="108">
        <f t="shared" si="6"/>
        <v>0.15499265371390497</v>
      </c>
      <c r="R17" s="108">
        <f t="shared" si="6"/>
        <v>0.16137934854616098</v>
      </c>
    </row>
    <row r="18" spans="1:18" ht="19.95" customHeight="1" x14ac:dyDescent="0.3">
      <c r="B18" s="2" t="s">
        <v>203</v>
      </c>
      <c r="C18" s="5"/>
      <c r="E18" s="7" t="s">
        <v>45</v>
      </c>
      <c r="F18" s="104">
        <f>IS!F34/'Data Sheet'!$F$41</f>
        <v>9.2317772517341717E-2</v>
      </c>
      <c r="G18" s="104">
        <f>IS!G34/'Data Sheet'!$F$41</f>
        <v>9.0397651384045707E-2</v>
      </c>
      <c r="H18" s="104">
        <f>IS!H34/'Data Sheet'!$F$41</f>
        <v>0.11957885602611239</v>
      </c>
      <c r="I18" s="104">
        <f>IS!I34/'Data Sheet'!$F$41</f>
        <v>8.3202654427438696E-2</v>
      </c>
      <c r="J18" s="104">
        <f>IS!J34/'Data Sheet'!$F$41</f>
        <v>0.11684310222669399</v>
      </c>
      <c r="K18" s="109">
        <f>IS!K34/'Data Sheet'!$F$41</f>
        <v>0.15536255163752433</v>
      </c>
      <c r="L18" s="109">
        <f>IS!L34/'Data Sheet'!$F$41</f>
        <v>0.17731841950766766</v>
      </c>
      <c r="M18" s="109">
        <f>IS!M34/'Data Sheet'!$F$41</f>
        <v>0.20237709515774435</v>
      </c>
      <c r="N18" s="109">
        <f>IS!N34/'Data Sheet'!$F$41</f>
        <v>0.2309770680237517</v>
      </c>
      <c r="O18" s="109">
        <f>IS!O34/'Data Sheet'!$F$41</f>
        <v>0.26361879495930324</v>
      </c>
      <c r="P18" s="117"/>
      <c r="Q18" s="108">
        <f t="shared" ref="Q18" si="7">AVERAGE(G18:O18)</f>
        <v>0.15996402148336467</v>
      </c>
      <c r="R18" s="108">
        <f t="shared" ref="R18" si="8">AVERAGE(H18:P18)</f>
        <v>0.16865981774577954</v>
      </c>
    </row>
    <row r="19" spans="1:18" ht="19.95" customHeight="1" x14ac:dyDescent="0.3"/>
    <row r="20" spans="1:18" ht="19.95" customHeight="1" x14ac:dyDescent="0.3">
      <c r="A20" s="6" t="s">
        <v>68</v>
      </c>
      <c r="B20" s="147" t="s">
        <v>173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06"/>
      <c r="R20" s="106"/>
    </row>
    <row r="21" spans="1:18" s="6" customFormat="1" ht="19.95" customHeight="1" x14ac:dyDescent="0.3"/>
    <row r="22" spans="1:18" ht="19.95" customHeight="1" x14ac:dyDescent="0.3">
      <c r="B22" s="2" t="s">
        <v>163</v>
      </c>
      <c r="C22" s="2"/>
    </row>
    <row r="23" spans="1:18" ht="19.95" customHeight="1" x14ac:dyDescent="0.3">
      <c r="C23" s="5" t="s">
        <v>165</v>
      </c>
      <c r="E23" s="7" t="s">
        <v>45</v>
      </c>
      <c r="F23" s="107"/>
      <c r="G23" s="104">
        <f>IS!G40/IS!F40-1</f>
        <v>-0.12276188674449162</v>
      </c>
      <c r="H23" s="104">
        <f>IS!H40/IS!G40-1</f>
        <v>6.2309261416659156E-2</v>
      </c>
      <c r="I23" s="104">
        <f>IS!I40/IS!H40-1</f>
        <v>0.14166790470180524</v>
      </c>
      <c r="J23" s="104">
        <f>IS!J40/IS!I40-1</f>
        <v>-8.1470275954534488E-2</v>
      </c>
      <c r="K23" s="109">
        <f>IS!K40/IS!J40-1</f>
        <v>6.0000000000000053E-2</v>
      </c>
      <c r="L23" s="109">
        <f>IS!L40/IS!K40-1</f>
        <v>6.0000000000000053E-2</v>
      </c>
      <c r="M23" s="109">
        <f>IS!M40/IS!L40-1</f>
        <v>5.9999999999999831E-2</v>
      </c>
      <c r="N23" s="109">
        <f>IS!N40/IS!M40-1</f>
        <v>6.0000000000000275E-2</v>
      </c>
      <c r="O23" s="109">
        <f>IS!O40/IS!N40-1</f>
        <v>6.0000000000000053E-2</v>
      </c>
      <c r="P23" s="117"/>
      <c r="Q23" s="108">
        <f t="shared" ref="Q23" si="9">AVERAGE(G23:O23)</f>
        <v>3.3305000379937617E-2</v>
      </c>
      <c r="R23" s="108">
        <f t="shared" ref="R23" si="10">MEDIAN(G23:O23)</f>
        <v>6.0000000000000053E-2</v>
      </c>
    </row>
    <row r="24" spans="1:18" ht="19.95" customHeight="1" x14ac:dyDescent="0.3">
      <c r="C24" s="5" t="s">
        <v>166</v>
      </c>
      <c r="E24" s="7" t="s">
        <v>45</v>
      </c>
      <c r="F24" s="107"/>
      <c r="G24" s="104">
        <f>IS!G44/IS!F44-1</f>
        <v>-0.11969241504598849</v>
      </c>
      <c r="H24" s="104">
        <f>IS!H44/IS!G44-1</f>
        <v>8.1418156872982816E-2</v>
      </c>
      <c r="I24" s="104">
        <f>IS!I44/IS!H44-1</f>
        <v>0.12324788441901169</v>
      </c>
      <c r="J24" s="104">
        <f>IS!J44/IS!I44-1</f>
        <v>-9.6031006489013637E-2</v>
      </c>
      <c r="K24" s="109">
        <f>IS!K44/IS!J44-1</f>
        <v>7.5769263605213633E-2</v>
      </c>
      <c r="L24" s="109">
        <f>IS!L44/IS!K44-1</f>
        <v>6.0000000000000053E-2</v>
      </c>
      <c r="M24" s="109">
        <f>IS!M44/IS!L44-1</f>
        <v>5.9999999999999831E-2</v>
      </c>
      <c r="N24" s="109">
        <f>IS!N44/IS!M44-1</f>
        <v>6.0000000000000275E-2</v>
      </c>
      <c r="O24" s="109">
        <f>IS!O44/IS!N44-1</f>
        <v>5.9999999999999831E-2</v>
      </c>
      <c r="P24" s="117"/>
      <c r="Q24" s="108">
        <f t="shared" ref="Q24:Q26" si="11">AVERAGE(G24:O24)</f>
        <v>3.3856875929134E-2</v>
      </c>
      <c r="R24" s="108">
        <f t="shared" ref="R24:R27" si="12">MEDIAN(G24:O24)</f>
        <v>6.0000000000000053E-2</v>
      </c>
    </row>
    <row r="25" spans="1:18" ht="19.95" customHeight="1" x14ac:dyDescent="0.3">
      <c r="C25" s="5" t="s">
        <v>170</v>
      </c>
      <c r="E25" s="7" t="s">
        <v>45</v>
      </c>
      <c r="F25" s="107"/>
      <c r="G25" s="104">
        <f>IS!G48/IS!F48-1</f>
        <v>0.37698173201070917</v>
      </c>
      <c r="H25" s="104">
        <f>IS!H48/IS!G48-1</f>
        <v>-0.42777070025754549</v>
      </c>
      <c r="I25" s="104">
        <f>IS!I48/IS!H48-1</f>
        <v>-1.3783563640148842</v>
      </c>
      <c r="J25" s="104">
        <f>IS!J48/IS!I48-1</f>
        <v>-1.6246661301822871</v>
      </c>
      <c r="K25" s="109">
        <f>IS!K48/IS!J48-1</f>
        <v>8.8493129800496355</v>
      </c>
      <c r="L25" s="109">
        <f>IS!L48/IS!K48-1</f>
        <v>6.0000000000000275E-2</v>
      </c>
      <c r="M25" s="109">
        <f>IS!M48/IS!L48-1</f>
        <v>6.0000000000000053E-2</v>
      </c>
      <c r="N25" s="109">
        <f>IS!N48/IS!M48-1</f>
        <v>6.0000000000000497E-2</v>
      </c>
      <c r="O25" s="109">
        <f>IS!O48/IS!N48-1</f>
        <v>5.9999999999999387E-2</v>
      </c>
      <c r="P25" s="117"/>
      <c r="Q25" s="108">
        <f t="shared" si="11"/>
        <v>0.67061127973395873</v>
      </c>
      <c r="R25" s="108">
        <f t="shared" si="12"/>
        <v>6.0000000000000053E-2</v>
      </c>
    </row>
    <row r="26" spans="1:18" ht="19.95" customHeight="1" x14ac:dyDescent="0.3">
      <c r="C26" s="5" t="s">
        <v>171</v>
      </c>
      <c r="E26" s="7" t="s">
        <v>45</v>
      </c>
      <c r="F26" s="107"/>
      <c r="G26" s="104">
        <f>IS!G52/IS!F52-1</f>
        <v>0.66661376651171911</v>
      </c>
      <c r="H26" s="104">
        <f>IS!H52/IS!G52-1</f>
        <v>-0.57205637645016005</v>
      </c>
      <c r="I26" s="104">
        <f>IS!I52/IS!H52-1</f>
        <v>-2.6055089740960087</v>
      </c>
      <c r="J26" s="104">
        <f>IS!J52/IS!I52-1</f>
        <v>-0.71443783937102423</v>
      </c>
      <c r="K26" s="109">
        <f>IS!K52/IS!J52-1</f>
        <v>-8.4857355127518748</v>
      </c>
      <c r="L26" s="109">
        <f>IS!L52/IS!K52-1</f>
        <v>6.0000000000000497E-2</v>
      </c>
      <c r="M26" s="109">
        <f>IS!M52/IS!L52-1</f>
        <v>5.9999999999999831E-2</v>
      </c>
      <c r="N26" s="109">
        <f>IS!N52/IS!M52-1</f>
        <v>6.0000000000000719E-2</v>
      </c>
      <c r="O26" s="109">
        <f>IS!O52/IS!N52-1</f>
        <v>5.9999999999999165E-2</v>
      </c>
      <c r="P26" s="117"/>
      <c r="Q26" s="108">
        <f t="shared" si="11"/>
        <v>-1.2745694373508165</v>
      </c>
      <c r="R26" s="108">
        <f t="shared" si="12"/>
        <v>5.9999999999999165E-2</v>
      </c>
    </row>
    <row r="27" spans="1:18" ht="19.95" customHeight="1" x14ac:dyDescent="0.3">
      <c r="C27" s="5" t="s">
        <v>172</v>
      </c>
      <c r="E27" s="7" t="s">
        <v>45</v>
      </c>
      <c r="F27" s="107"/>
      <c r="G27" s="104">
        <f>IS!G63/IS!F63-1</f>
        <v>-7.2457318756090654</v>
      </c>
      <c r="H27" s="104">
        <f>IS!H63/IS!G63-1</f>
        <v>-0.82421629284793985</v>
      </c>
      <c r="I27" s="104">
        <f>IS!I63/IS!H63-1</f>
        <v>-5.8367155334948952</v>
      </c>
      <c r="J27" s="104">
        <f>IS!J63/IS!I63-1</f>
        <v>7.4058045495124514E-2</v>
      </c>
      <c r="K27" s="109">
        <f>IS!K63/IS!J63-1</f>
        <v>-2.8495701285900195</v>
      </c>
      <c r="L27" s="109">
        <f>IS!L63/IS!K63-1</f>
        <v>6.0000000000000719E-2</v>
      </c>
      <c r="M27" s="109">
        <f>IS!M63/IS!L63-1</f>
        <v>5.9999999999999831E-2</v>
      </c>
      <c r="N27" s="109">
        <f>IS!N63/IS!M63-1</f>
        <v>6.0000000000000497E-2</v>
      </c>
      <c r="O27" s="109">
        <f>IS!O63/IS!N63-1</f>
        <v>5.9999999999998943E-2</v>
      </c>
      <c r="P27" s="117"/>
      <c r="Q27" s="108">
        <f>AVERAGE(G27:O27)</f>
        <v>-1.8269084205607551</v>
      </c>
      <c r="R27" s="108">
        <f t="shared" si="12"/>
        <v>5.9999999999998943E-2</v>
      </c>
    </row>
    <row r="28" spans="1:18" ht="19.95" customHeight="1" x14ac:dyDescent="0.3">
      <c r="G28" s="105"/>
      <c r="H28" s="105"/>
      <c r="I28" s="105"/>
      <c r="J28" s="105"/>
      <c r="K28" s="110"/>
      <c r="L28" s="110"/>
      <c r="M28" s="110"/>
      <c r="N28" s="110"/>
      <c r="O28" s="110"/>
      <c r="P28" s="117"/>
    </row>
    <row r="29" spans="1:18" ht="19.95" customHeight="1" x14ac:dyDescent="0.3">
      <c r="C29" s="5" t="s">
        <v>74</v>
      </c>
      <c r="E29" s="7" t="s">
        <v>45</v>
      </c>
      <c r="F29" s="104">
        <f>IS!F44/IS!F40</f>
        <v>0.82172835290002177</v>
      </c>
      <c r="G29" s="104">
        <f>IS!G44/IS!G40</f>
        <v>0.82460359496368885</v>
      </c>
      <c r="H29" s="104">
        <f>IS!H44/IS!H40</f>
        <v>0.8394366237824874</v>
      </c>
      <c r="I29" s="104">
        <f>IS!I44/IS!I40</f>
        <v>0.82589289572241564</v>
      </c>
      <c r="J29" s="104">
        <f>IS!J44/IS!J40</f>
        <v>0.81280066409381835</v>
      </c>
      <c r="K29" s="109">
        <f>IS!K44/IS!K40</f>
        <v>0.82489242629248638</v>
      </c>
      <c r="L29" s="109">
        <f>IS!L44/IS!L40</f>
        <v>0.82489242629248638</v>
      </c>
      <c r="M29" s="109">
        <f>IS!M44/IS!M40</f>
        <v>0.82489242629248638</v>
      </c>
      <c r="N29" s="109">
        <f>IS!N44/IS!N40</f>
        <v>0.82489242629248649</v>
      </c>
      <c r="O29" s="109">
        <f>IS!O44/IS!O40</f>
        <v>0.82489242629248649</v>
      </c>
      <c r="P29" s="117"/>
      <c r="Q29" s="108">
        <f>AVERAGE(G29:O29)</f>
        <v>0.82524399000276027</v>
      </c>
      <c r="R29" s="108">
        <f t="shared" ref="R29" si="13">MEDIAN(G29:O29)</f>
        <v>0.82489242629248638</v>
      </c>
    </row>
    <row r="30" spans="1:18" ht="19.95" customHeight="1" x14ac:dyDescent="0.3">
      <c r="C30" s="5" t="s">
        <v>77</v>
      </c>
      <c r="E30" s="7" t="s">
        <v>45</v>
      </c>
      <c r="F30" s="104">
        <f>IS!F48/IS!F40</f>
        <v>0.11571243354379399</v>
      </c>
      <c r="G30" s="104">
        <f>IS!G48/IS!G40</f>
        <v>0.18163130938874197</v>
      </c>
      <c r="H30" s="104">
        <f>IS!H48/IS!H40</f>
        <v>9.7838511587690677E-2</v>
      </c>
      <c r="I30" s="104">
        <f>IS!I48/IS!I40</f>
        <v>-3.242433579195303E-2</v>
      </c>
      <c r="J30" s="104">
        <f>IS!J48/IS!J40</f>
        <v>2.2050875254950128E-2</v>
      </c>
      <c r="K30" s="109">
        <f>IS!K48/IS!K40</f>
        <v>0.20489242629248638</v>
      </c>
      <c r="L30" s="109">
        <f>IS!L48/IS!L40</f>
        <v>0.20489242629248644</v>
      </c>
      <c r="M30" s="109">
        <f>IS!M48/IS!M40</f>
        <v>0.20489242629248644</v>
      </c>
      <c r="N30" s="109">
        <f>IS!N48/IS!N40</f>
        <v>0.20489242629248652</v>
      </c>
      <c r="O30" s="109">
        <f>IS!O48/IS!O40</f>
        <v>0.20489242629248638</v>
      </c>
      <c r="P30" s="117"/>
      <c r="Q30" s="108">
        <f t="shared" ref="Q30:Q34" si="14">AVERAGE(G30:O30)</f>
        <v>0.14372872132242909</v>
      </c>
      <c r="R30" s="108">
        <f t="shared" ref="R30:R34" si="15">MEDIAN(G30:O30)</f>
        <v>0.20489242629248638</v>
      </c>
    </row>
    <row r="31" spans="1:18" ht="19.95" customHeight="1" x14ac:dyDescent="0.3">
      <c r="C31" s="5" t="s">
        <v>167</v>
      </c>
      <c r="E31" s="7" t="s">
        <v>45</v>
      </c>
      <c r="F31" s="104">
        <f>IS!F52/IS!F40</f>
        <v>6.6904704602307574E-2</v>
      </c>
      <c r="G31" s="104">
        <f>IS!G52/IS!G40</f>
        <v>0.12710836436506778</v>
      </c>
      <c r="H31" s="104">
        <f>IS!H52/IS!H40</f>
        <v>5.1204687754807736E-2</v>
      </c>
      <c r="I31" s="104">
        <f>IS!I52/IS!I40</f>
        <v>-7.2008318152379291E-2</v>
      </c>
      <c r="J31" s="104">
        <f>IS!J52/IS!J40</f>
        <v>-2.2386701678294631E-2</v>
      </c>
      <c r="K31" s="109">
        <f>IS!K52/IS!K40</f>
        <v>0.15809521487414349</v>
      </c>
      <c r="L31" s="109">
        <f>IS!L52/IS!L40</f>
        <v>0.15809521487414352</v>
      </c>
      <c r="M31" s="109">
        <f>IS!M52/IS!M40</f>
        <v>0.15809521487414352</v>
      </c>
      <c r="N31" s="109">
        <f>IS!N52/IS!N40</f>
        <v>0.1580952148741436</v>
      </c>
      <c r="O31" s="109">
        <f>IS!O52/IS!O40</f>
        <v>0.15809521487414349</v>
      </c>
      <c r="P31" s="117"/>
      <c r="Q31" s="108">
        <f t="shared" si="14"/>
        <v>9.7154900739991015E-2</v>
      </c>
      <c r="R31" s="108">
        <f t="shared" si="15"/>
        <v>0.15809521487414349</v>
      </c>
    </row>
    <row r="32" spans="1:18" ht="19.95" customHeight="1" x14ac:dyDescent="0.3">
      <c r="C32" s="5" t="s">
        <v>168</v>
      </c>
      <c r="E32" s="7" t="s">
        <v>45</v>
      </c>
      <c r="F32" s="104">
        <f>IS!F63/IS!F40</f>
        <v>-7.0206842803376092E-3</v>
      </c>
      <c r="G32" s="104">
        <f>IS!G63/IS!G40</f>
        <v>4.9985643505117916E-2</v>
      </c>
      <c r="H32" s="104">
        <f>IS!H63/IS!H40</f>
        <v>8.2712841155063808E-3</v>
      </c>
      <c r="I32" s="104">
        <f>IS!I63/IS!I40</f>
        <v>-3.504158100500207E-2</v>
      </c>
      <c r="J32" s="104">
        <f>IS!J63/IS!J40</f>
        <v>-4.0974930935853589E-2</v>
      </c>
      <c r="K32" s="109">
        <f>IS!K63/IS!K40</f>
        <v>7.1496234226409328E-2</v>
      </c>
      <c r="L32" s="109">
        <f>IS!L63/IS!L40</f>
        <v>7.1496234226409369E-2</v>
      </c>
      <c r="M32" s="109">
        <f>IS!M63/IS!M40</f>
        <v>7.1496234226409369E-2</v>
      </c>
      <c r="N32" s="109">
        <f>IS!N63/IS!N40</f>
        <v>7.1496234226409383E-2</v>
      </c>
      <c r="O32" s="109">
        <f>IS!O63/IS!O40</f>
        <v>7.1496234226409328E-2</v>
      </c>
      <c r="P32" s="117"/>
      <c r="Q32" s="108">
        <f t="shared" si="14"/>
        <v>3.7746842979090603E-2</v>
      </c>
      <c r="R32" s="108">
        <f t="shared" si="15"/>
        <v>7.1496234226409328E-2</v>
      </c>
    </row>
    <row r="33" spans="2:18" ht="19.95" customHeight="1" x14ac:dyDescent="0.3">
      <c r="K33" s="59"/>
      <c r="L33" s="59"/>
      <c r="M33" s="59"/>
      <c r="N33" s="59"/>
      <c r="O33" s="59"/>
      <c r="P33" s="117"/>
      <c r="Q33" s="108"/>
      <c r="R33" s="108"/>
    </row>
    <row r="34" spans="2:18" ht="19.95" customHeight="1" x14ac:dyDescent="0.3">
      <c r="B34" s="2" t="s">
        <v>202</v>
      </c>
      <c r="E34" s="7" t="s">
        <v>45</v>
      </c>
      <c r="F34" s="104">
        <f>IS!F52/('Data Sheet'!$F$74+'Data Sheet'!$F$77)</f>
        <v>3.6395927292753288E-2</v>
      </c>
      <c r="G34" s="104">
        <f>IS!G52/('Data Sheet'!$F$74+'Data Sheet'!$F$77)</f>
        <v>6.0657953471062231E-2</v>
      </c>
      <c r="H34" s="104">
        <f>IS!H52/('Data Sheet'!$F$74+'Data Sheet'!$F$77)</f>
        <v>2.595818440552396E-2</v>
      </c>
      <c r="I34" s="104">
        <f>IS!I52/('Data Sheet'!$F$74+'Data Sheet'!$F$77)</f>
        <v>-4.1676098014307786E-2</v>
      </c>
      <c r="J34" s="104">
        <f>IS!J52/('Data Sheet'!$F$74+'Data Sheet'!$F$77)</f>
        <v>-1.1901116595550697E-2</v>
      </c>
      <c r="K34" s="109">
        <f>IS!K52/('Data Sheet'!$F$74+'Data Sheet'!$F$77)</f>
        <v>8.9088611140714549E-2</v>
      </c>
      <c r="L34" s="109">
        <f>IS!L52/('Data Sheet'!$F$74+'Data Sheet'!$F$77)</f>
        <v>9.443392780915745E-2</v>
      </c>
      <c r="M34" s="109">
        <f>IS!M52/('Data Sheet'!$F$74+'Data Sheet'!$F$77)</f>
        <v>0.10009996347770689</v>
      </c>
      <c r="N34" s="109">
        <f>IS!N52/('Data Sheet'!$F$74+'Data Sheet'!$F$77)</f>
        <v>0.10610596128636939</v>
      </c>
      <c r="O34" s="109">
        <f>IS!O52/('Data Sheet'!$F$74+'Data Sheet'!$F$77)</f>
        <v>0.11247231896355146</v>
      </c>
      <c r="P34" s="117"/>
      <c r="Q34" s="108">
        <f t="shared" si="14"/>
        <v>5.9471078438247491E-2</v>
      </c>
      <c r="R34" s="108">
        <f t="shared" si="15"/>
        <v>8.9088611140714549E-2</v>
      </c>
    </row>
    <row r="35" spans="2:18" ht="19.95" customHeight="1" x14ac:dyDescent="0.3">
      <c r="B35" s="2" t="s">
        <v>203</v>
      </c>
      <c r="E35" s="7" t="s">
        <v>45</v>
      </c>
      <c r="F35" s="104">
        <f>IS!F63/'Data Sheet'!$F$74</f>
        <v>-9.1091186337547841E-3</v>
      </c>
      <c r="G35" s="104">
        <f>IS!G63/'Data Sheet'!$F$74</f>
        <v>5.6893112609546763E-2</v>
      </c>
      <c r="H35" s="104">
        <f>IS!H63/'Data Sheet'!$F$74</f>
        <v>1.0000882245925749E-2</v>
      </c>
      <c r="I35" s="104">
        <f>IS!I63/'Data Sheet'!$F$74</f>
        <v>-4.8371422507522389E-2</v>
      </c>
      <c r="J35" s="104">
        <f>IS!J63/'Data Sheet'!$F$74</f>
        <v>-5.1953715516248375E-2</v>
      </c>
      <c r="K35" s="109">
        <f>IS!K63/'Data Sheet'!$F$74</f>
        <v>9.6092040288116784E-2</v>
      </c>
      <c r="L35" s="109">
        <f>IS!L63/'Data Sheet'!$F$74</f>
        <v>0.10185756270540387</v>
      </c>
      <c r="M35" s="109">
        <f>IS!M63/'Data Sheet'!$F$74</f>
        <v>0.10796901646772809</v>
      </c>
      <c r="N35" s="109">
        <f>IS!N63/'Data Sheet'!$F$74</f>
        <v>0.11444715745579183</v>
      </c>
      <c r="O35" s="109">
        <f>IS!O63/'Data Sheet'!$F$74</f>
        <v>0.12131398690313923</v>
      </c>
      <c r="P35" s="117"/>
      <c r="Q35" s="108">
        <f t="shared" ref="Q35" si="16">AVERAGE(G35:O35)</f>
        <v>5.6472068961320177E-2</v>
      </c>
      <c r="R35" s="108">
        <f t="shared" ref="R35" si="17">MEDIAN(G35:O35)</f>
        <v>9.6092040288116784E-2</v>
      </c>
    </row>
  </sheetData>
  <mergeCells count="2">
    <mergeCell ref="B3:P3"/>
    <mergeCell ref="B20:P20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 negative="1" xr2:uid="{A2DA0192-A9F3-4F01-80E2-8A6C54D7FB99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Ratios!F6:O6</xm:f>
              <xm:sqref>P6</xm:sqref>
            </x14:sparkline>
            <x14:sparkline>
              <xm:f>Ratios!F7:O7</xm:f>
              <xm:sqref>P7</xm:sqref>
            </x14:sparkline>
            <x14:sparkline>
              <xm:f>Ratios!F8:O8</xm:f>
              <xm:sqref>P8</xm:sqref>
            </x14:sparkline>
            <x14:sparkline>
              <xm:f>Ratios!F9:O9</xm:f>
              <xm:sqref>P9</xm:sqref>
            </x14:sparkline>
            <x14:sparkline>
              <xm:f>Ratios!F10:O10</xm:f>
              <xm:sqref>P10</xm:sqref>
            </x14:sparkline>
            <x14:sparkline>
              <xm:f>Ratios!F11:O11</xm:f>
              <xm:sqref>P11</xm:sqref>
            </x14:sparkline>
            <x14:sparkline>
              <xm:f>Ratios!F12:O12</xm:f>
              <xm:sqref>P12</xm:sqref>
            </x14:sparkline>
            <x14:sparkline>
              <xm:f>Ratios!F13:O13</xm:f>
              <xm:sqref>P13</xm:sqref>
            </x14:sparkline>
            <x14:sparkline>
              <xm:f>Ratios!F14:O14</xm:f>
              <xm:sqref>P14</xm:sqref>
            </x14:sparkline>
            <x14:sparkline>
              <xm:f>Ratios!F15:O15</xm:f>
              <xm:sqref>P15</xm:sqref>
            </x14:sparkline>
            <x14:sparkline>
              <xm:f>Ratios!F16:O16</xm:f>
              <xm:sqref>P16</xm:sqref>
            </x14:sparkline>
            <x14:sparkline>
              <xm:f>Ratios!F17:O17</xm:f>
              <xm:sqref>P17</xm:sqref>
            </x14:sparkline>
            <x14:sparkline>
              <xm:f>Ratios!F18:O18</xm:f>
              <xm:sqref>P18</xm:sqref>
            </x14:sparkline>
          </x14:sparklines>
        </x14:sparklineGroup>
        <x14:sparklineGroup displayEmptyCellsAs="gap" markers="1" high="1" low="1" first="1" last="1" negative="1" xr2:uid="{AFCB9B96-0D6B-4206-BDD4-73928D16BB7F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Ratios!F23:O23</xm:f>
              <xm:sqref>P23</xm:sqref>
            </x14:sparkline>
            <x14:sparkline>
              <xm:f>Ratios!F24:O24</xm:f>
              <xm:sqref>P24</xm:sqref>
            </x14:sparkline>
            <x14:sparkline>
              <xm:f>Ratios!F25:O25</xm:f>
              <xm:sqref>P25</xm:sqref>
            </x14:sparkline>
            <x14:sparkline>
              <xm:f>Ratios!F26:O26</xm:f>
              <xm:sqref>P26</xm:sqref>
            </x14:sparkline>
            <x14:sparkline>
              <xm:f>Ratios!F27:O27</xm:f>
              <xm:sqref>P27</xm:sqref>
            </x14:sparkline>
            <x14:sparkline>
              <xm:f>Ratios!F28:O28</xm:f>
              <xm:sqref>P28</xm:sqref>
            </x14:sparkline>
            <x14:sparkline>
              <xm:f>Ratios!F29:O29</xm:f>
              <xm:sqref>P29</xm:sqref>
            </x14:sparkline>
            <x14:sparkline>
              <xm:f>Ratios!F30:O30</xm:f>
              <xm:sqref>P30</xm:sqref>
            </x14:sparkline>
            <x14:sparkline>
              <xm:f>Ratios!F31:O31</xm:f>
              <xm:sqref>P31</xm:sqref>
            </x14:sparkline>
            <x14:sparkline>
              <xm:f>Ratios!F32:O32</xm:f>
              <xm:sqref>P32</xm:sqref>
            </x14:sparkline>
            <x14:sparkline>
              <xm:f>Ratios!F33:O33</xm:f>
              <xm:sqref>P33</xm:sqref>
            </x14:sparkline>
            <x14:sparkline>
              <xm:f>Ratios!F34:O34</xm:f>
              <xm:sqref>P34</xm:sqref>
            </x14:sparkline>
            <x14:sparkline>
              <xm:f>Ratios!F35:O35</xm:f>
              <xm:sqref>P35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F03D-569A-42ED-9A08-655DBEE5666E}">
  <dimension ref="A1:L23"/>
  <sheetViews>
    <sheetView showGridLines="0" workbookViewId="0">
      <pane xSplit="1" ySplit="4" topLeftCell="C11" activePane="bottomRight" state="frozen"/>
      <selection pane="topRight" activeCell="B1" sqref="B1"/>
      <selection pane="bottomLeft" activeCell="A5" sqref="A5"/>
      <selection pane="bottomRight" activeCell="J19" sqref="J19"/>
    </sheetView>
  </sheetViews>
  <sheetFormatPr defaultRowHeight="14.4" x14ac:dyDescent="0.3"/>
  <cols>
    <col min="1" max="1" width="28.21875" customWidth="1"/>
    <col min="2" max="12" width="16.33203125" customWidth="1"/>
  </cols>
  <sheetData>
    <row r="1" spans="1:12" s="138" customFormat="1" x14ac:dyDescent="0.3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s="111" customFormat="1" x14ac:dyDescent="0.3">
      <c r="A3" s="149" t="s">
        <v>175</v>
      </c>
      <c r="B3" s="112" t="s">
        <v>191</v>
      </c>
      <c r="C3" s="112" t="s">
        <v>192</v>
      </c>
      <c r="D3" s="112" t="s">
        <v>193</v>
      </c>
      <c r="E3" s="112" t="s">
        <v>194</v>
      </c>
      <c r="F3" s="112" t="s">
        <v>177</v>
      </c>
      <c r="G3" s="112" t="s">
        <v>165</v>
      </c>
      <c r="H3" s="112" t="s">
        <v>230</v>
      </c>
      <c r="I3" s="112" t="s">
        <v>185</v>
      </c>
      <c r="J3" s="148" t="s">
        <v>187</v>
      </c>
      <c r="K3" s="148"/>
      <c r="L3" s="113" t="s">
        <v>188</v>
      </c>
    </row>
    <row r="4" spans="1:12" s="111" customFormat="1" x14ac:dyDescent="0.3">
      <c r="A4" s="149"/>
      <c r="B4" s="112" t="s">
        <v>189</v>
      </c>
      <c r="C4" s="112" t="s">
        <v>190</v>
      </c>
      <c r="D4" s="112" t="s">
        <v>190</v>
      </c>
      <c r="E4" s="112" t="s">
        <v>190</v>
      </c>
      <c r="F4" s="112" t="s">
        <v>190</v>
      </c>
      <c r="G4" s="112" t="s">
        <v>45</v>
      </c>
      <c r="H4" s="112" t="s">
        <v>45</v>
      </c>
      <c r="I4" s="112" t="s">
        <v>189</v>
      </c>
      <c r="J4" s="112" t="s">
        <v>178</v>
      </c>
      <c r="K4" s="112" t="s">
        <v>123</v>
      </c>
      <c r="L4" s="112" t="s">
        <v>124</v>
      </c>
    </row>
    <row r="5" spans="1:12" x14ac:dyDescent="0.3">
      <c r="A5" t="s">
        <v>179</v>
      </c>
      <c r="B5">
        <v>1004.15</v>
      </c>
      <c r="C5">
        <v>28806.16</v>
      </c>
      <c r="D5">
        <v>23724.93</v>
      </c>
      <c r="E5">
        <v>8799.3700000000008</v>
      </c>
      <c r="F5">
        <v>372.48</v>
      </c>
      <c r="G5" s="99">
        <v>-5.0799999999999998E-2</v>
      </c>
      <c r="H5" s="99">
        <v>1.49E-2</v>
      </c>
      <c r="I5">
        <v>15.84</v>
      </c>
      <c r="J5" s="95">
        <f>C5/B5</f>
        <v>28.687108499726136</v>
      </c>
      <c r="K5">
        <v>20.96</v>
      </c>
      <c r="L5">
        <v>121.28</v>
      </c>
    </row>
    <row r="6" spans="1:12" x14ac:dyDescent="0.3">
      <c r="A6" t="s">
        <v>180</v>
      </c>
      <c r="B6">
        <v>2070.1</v>
      </c>
      <c r="C6">
        <v>44358.84</v>
      </c>
      <c r="D6">
        <v>38814.839999999997</v>
      </c>
      <c r="E6">
        <v>13980</v>
      </c>
      <c r="F6">
        <v>6990</v>
      </c>
      <c r="G6" s="99">
        <v>-4.8399999999999999E-2</v>
      </c>
      <c r="H6" s="99">
        <v>-0.48320000000000002</v>
      </c>
      <c r="I6">
        <v>36.409999999999997</v>
      </c>
      <c r="J6" s="95">
        <f t="shared" ref="J6:J11" si="0">C6/B6</f>
        <v>21.428356118061927</v>
      </c>
      <c r="K6">
        <v>16.68</v>
      </c>
      <c r="L6">
        <v>49.92</v>
      </c>
    </row>
    <row r="7" spans="1:12" x14ac:dyDescent="0.3">
      <c r="A7" t="s">
        <v>181</v>
      </c>
      <c r="B7">
        <v>356.6</v>
      </c>
      <c r="C7">
        <v>7347.56</v>
      </c>
      <c r="D7">
        <v>7326.7</v>
      </c>
      <c r="E7">
        <v>2708.83</v>
      </c>
      <c r="F7">
        <v>91.25</v>
      </c>
      <c r="G7" s="99">
        <v>-0.14949999999999999</v>
      </c>
      <c r="H7" s="99">
        <v>-0.47860000000000003</v>
      </c>
      <c r="I7">
        <v>20.51</v>
      </c>
      <c r="J7" s="95">
        <f t="shared" si="0"/>
        <v>20.604486819966347</v>
      </c>
      <c r="K7">
        <v>22.88</v>
      </c>
      <c r="L7">
        <v>80.290000000000006</v>
      </c>
    </row>
    <row r="8" spans="1:12" x14ac:dyDescent="0.3">
      <c r="A8" t="s">
        <v>182</v>
      </c>
      <c r="B8">
        <v>229.16</v>
      </c>
      <c r="C8">
        <v>4279.3500000000004</v>
      </c>
      <c r="D8">
        <v>2997.27</v>
      </c>
      <c r="E8">
        <v>2257.64</v>
      </c>
      <c r="F8">
        <v>-216.68</v>
      </c>
      <c r="G8" s="100">
        <v>-9.8599999999999993E-2</v>
      </c>
      <c r="H8" s="100">
        <v>-1.0731999999999999</v>
      </c>
      <c r="I8">
        <v>-16.05</v>
      </c>
      <c r="J8" s="95">
        <f>C8/B8</f>
        <v>18.674070518415082</v>
      </c>
      <c r="K8">
        <v>26.33</v>
      </c>
    </row>
    <row r="9" spans="1:12" x14ac:dyDescent="0.3">
      <c r="A9" t="s">
        <v>183</v>
      </c>
      <c r="B9">
        <v>223.74</v>
      </c>
      <c r="C9">
        <v>1226.32</v>
      </c>
      <c r="D9">
        <v>1013.88</v>
      </c>
      <c r="E9">
        <v>1521.61</v>
      </c>
      <c r="F9">
        <v>43.13</v>
      </c>
      <c r="G9" s="100">
        <v>-0.1045</v>
      </c>
      <c r="H9" s="100">
        <v>-0.39529999999999998</v>
      </c>
      <c r="I9">
        <v>9.51</v>
      </c>
      <c r="J9" s="95">
        <f t="shared" si="0"/>
        <v>5.4810047376419053</v>
      </c>
      <c r="K9">
        <v>7.83</v>
      </c>
      <c r="L9">
        <v>20.74</v>
      </c>
    </row>
    <row r="10" spans="1:12" x14ac:dyDescent="0.3">
      <c r="A10" t="s">
        <v>184</v>
      </c>
      <c r="B10">
        <v>62.94</v>
      </c>
      <c r="C10">
        <v>4107.26</v>
      </c>
      <c r="D10">
        <v>1623</v>
      </c>
      <c r="E10">
        <v>968.7</v>
      </c>
      <c r="F10">
        <v>-498.37</v>
      </c>
      <c r="G10" s="100">
        <v>0.1794</v>
      </c>
      <c r="H10" s="100">
        <v>0.151</v>
      </c>
      <c r="I10">
        <v>-19.29</v>
      </c>
      <c r="J10" s="95">
        <f t="shared" si="0"/>
        <v>65.25675246266286</v>
      </c>
      <c r="K10">
        <v>38.869999999999997</v>
      </c>
    </row>
    <row r="11" spans="1:12" x14ac:dyDescent="0.3">
      <c r="A11" t="s">
        <v>186</v>
      </c>
      <c r="B11">
        <v>783</v>
      </c>
      <c r="C11">
        <v>1535.57</v>
      </c>
      <c r="D11">
        <v>1094.3499999999999</v>
      </c>
      <c r="E11">
        <v>631.29999999999995</v>
      </c>
      <c r="F11">
        <v>2.59</v>
      </c>
      <c r="G11" s="100">
        <v>-0.18240000000000001</v>
      </c>
      <c r="H11" s="100">
        <v>-0.18240000000000001</v>
      </c>
      <c r="I11">
        <v>1.85</v>
      </c>
      <c r="J11" s="95">
        <f t="shared" si="0"/>
        <v>1.9611366538952746</v>
      </c>
      <c r="K11">
        <v>24.49</v>
      </c>
      <c r="L11">
        <v>63.44</v>
      </c>
    </row>
    <row r="12" spans="1:12" x14ac:dyDescent="0.3">
      <c r="G12" s="100"/>
      <c r="H12" s="100"/>
    </row>
    <row r="13" spans="1:12" x14ac:dyDescent="0.3">
      <c r="F13" s="114" t="s">
        <v>90</v>
      </c>
      <c r="G13" s="132">
        <f>MAX(G5:G11)</f>
        <v>0.1794</v>
      </c>
      <c r="H13" s="132">
        <f t="shared" ref="H13:I13" si="1">MAX(H5:H11)</f>
        <v>0.151</v>
      </c>
      <c r="I13" s="133">
        <f t="shared" si="1"/>
        <v>36.409999999999997</v>
      </c>
      <c r="J13" s="115">
        <f>MAX(J5:J11)</f>
        <v>65.25675246266286</v>
      </c>
      <c r="K13" s="115">
        <f t="shared" ref="K13:L13" si="2">MAX(K5:K11)</f>
        <v>38.869999999999997</v>
      </c>
      <c r="L13" s="115">
        <f t="shared" si="2"/>
        <v>121.28</v>
      </c>
    </row>
    <row r="14" spans="1:12" x14ac:dyDescent="0.3">
      <c r="F14" s="114" t="s">
        <v>195</v>
      </c>
      <c r="G14" s="132">
        <f>AVERAGE(G5:G11)</f>
        <v>-6.4971428571428555E-2</v>
      </c>
      <c r="H14" s="132">
        <f t="shared" ref="H14:I14" si="3">AVERAGE(H5:H11)</f>
        <v>-0.34954285714285716</v>
      </c>
      <c r="I14" s="133">
        <f t="shared" si="3"/>
        <v>6.9685714285714306</v>
      </c>
      <c r="J14" s="115">
        <f>AVERAGE(J5:J11)</f>
        <v>23.156130830052792</v>
      </c>
      <c r="K14" s="115">
        <f t="shared" ref="K14:L14" si="4">AVERAGE(K5:K11)</f>
        <v>22.577142857142857</v>
      </c>
      <c r="L14" s="115">
        <f t="shared" si="4"/>
        <v>67.134</v>
      </c>
    </row>
    <row r="15" spans="1:12" x14ac:dyDescent="0.3">
      <c r="F15" s="114" t="s">
        <v>162</v>
      </c>
      <c r="G15" s="132">
        <f>MEDIAN(G5:G11)</f>
        <v>-9.8599999999999993E-2</v>
      </c>
      <c r="H15" s="132">
        <f t="shared" ref="H15:I15" si="5">MEDIAN(H5:H11)</f>
        <v>-0.39529999999999998</v>
      </c>
      <c r="I15" s="133">
        <f t="shared" si="5"/>
        <v>9.51</v>
      </c>
      <c r="J15" s="115">
        <f>MEDIAN(J5:J11)</f>
        <v>20.604486819966347</v>
      </c>
      <c r="K15" s="115">
        <f t="shared" ref="K15:L15" si="6">MEDIAN(K5:K11)</f>
        <v>22.88</v>
      </c>
      <c r="L15" s="115">
        <f t="shared" si="6"/>
        <v>63.44</v>
      </c>
    </row>
    <row r="16" spans="1:12" x14ac:dyDescent="0.3">
      <c r="F16" s="114" t="s">
        <v>91</v>
      </c>
      <c r="G16" s="132">
        <f>MIN(G5:G11)</f>
        <v>-0.18240000000000001</v>
      </c>
      <c r="H16" s="132">
        <f>MIN(H5:H11)</f>
        <v>-1.0731999999999999</v>
      </c>
      <c r="I16" s="133">
        <f>MIN(I5:I11)</f>
        <v>-19.29</v>
      </c>
      <c r="J16" s="115">
        <f>MIN(J5:J11)</f>
        <v>1.9611366538952746</v>
      </c>
      <c r="K16" s="115">
        <f t="shared" ref="K16:L16" si="7">MIN(K5:K11)</f>
        <v>7.83</v>
      </c>
      <c r="L16" s="115">
        <f t="shared" si="7"/>
        <v>20.74</v>
      </c>
    </row>
    <row r="18" spans="1:12" x14ac:dyDescent="0.3">
      <c r="A18" s="116" t="s">
        <v>196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</row>
    <row r="19" spans="1:12" x14ac:dyDescent="0.3">
      <c r="A19" t="s">
        <v>197</v>
      </c>
      <c r="J19" s="46">
        <f>IS!$J$38*J14</f>
        <v>110781.82209171323</v>
      </c>
      <c r="K19" s="95">
        <f>IS!J48*K14</f>
        <v>2460.5699142856965</v>
      </c>
      <c r="L19" s="95">
        <f>('Data Sheet'!F47/(IS!J63/L22))*L14</f>
        <v>-2101.360359574277</v>
      </c>
    </row>
    <row r="20" spans="1:12" x14ac:dyDescent="0.3">
      <c r="A20" t="s">
        <v>176</v>
      </c>
      <c r="J20" s="46">
        <f>'Data Sheet'!$F$74</f>
        <v>3898.0060999999996</v>
      </c>
      <c r="K20" s="95">
        <f>'Data Sheet'!$F$74</f>
        <v>3898.0060999999996</v>
      </c>
      <c r="L20" s="95">
        <f>'Data Sheet'!$F$74</f>
        <v>3898.0060999999996</v>
      </c>
    </row>
    <row r="21" spans="1:12" x14ac:dyDescent="0.3">
      <c r="A21" t="s">
        <v>198</v>
      </c>
      <c r="J21" s="46">
        <f>J19-J20</f>
        <v>106883.81599171323</v>
      </c>
      <c r="K21" s="95">
        <f>K19-K20</f>
        <v>-1437.4361857143031</v>
      </c>
      <c r="L21" s="95">
        <f t="shared" ref="L21" si="8">L19-L20</f>
        <v>-5999.3664595742766</v>
      </c>
    </row>
    <row r="22" spans="1:12" x14ac:dyDescent="0.3">
      <c r="A22" t="s">
        <v>6</v>
      </c>
      <c r="J22" s="46">
        <f>'Data Sheet'!$F$49</f>
        <v>30.9897201</v>
      </c>
      <c r="K22" s="27">
        <f>'Data Sheet'!$F$49</f>
        <v>30.9897201</v>
      </c>
      <c r="L22" s="27">
        <f>'Data Sheet'!$F$49</f>
        <v>30.9897201</v>
      </c>
    </row>
    <row r="23" spans="1:12" x14ac:dyDescent="0.3">
      <c r="A23" s="66" t="s">
        <v>199</v>
      </c>
      <c r="B23" s="66"/>
      <c r="C23" s="66"/>
      <c r="D23" s="66"/>
      <c r="E23" s="66"/>
      <c r="F23" s="66"/>
      <c r="G23" s="66"/>
      <c r="H23" s="66"/>
      <c r="I23" s="66"/>
      <c r="J23" s="60">
        <f>J21/J22</f>
        <v>3449.0087566719658</v>
      </c>
      <c r="K23" s="63">
        <f t="shared" ref="K23:L23" si="9">K21/K22</f>
        <v>-46.384290696265538</v>
      </c>
      <c r="L23" s="63">
        <f t="shared" si="9"/>
        <v>-193.59214733837743</v>
      </c>
    </row>
  </sheetData>
  <mergeCells count="2">
    <mergeCell ref="J3:K3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CA6A-152F-4D59-8FF3-7EB8280D186C}">
  <dimension ref="A1:P27"/>
  <sheetViews>
    <sheetView showGridLines="0" workbookViewId="0">
      <selection sqref="A1:XFD1"/>
    </sheetView>
  </sheetViews>
  <sheetFormatPr defaultRowHeight="14.4" x14ac:dyDescent="0.3"/>
  <cols>
    <col min="1" max="1" width="29.33203125" customWidth="1"/>
    <col min="2" max="4" width="16.33203125" customWidth="1"/>
    <col min="5" max="5" width="0.44140625" customWidth="1"/>
    <col min="6" max="12" width="16.33203125" customWidth="1"/>
    <col min="13" max="13" width="0.44140625" customWidth="1"/>
    <col min="14" max="22" width="16.33203125" customWidth="1"/>
  </cols>
  <sheetData>
    <row r="1" spans="1:16" s="1" customFormat="1" x14ac:dyDescent="0.3">
      <c r="A1" s="1" t="s">
        <v>200</v>
      </c>
      <c r="M1" s="137"/>
    </row>
    <row r="3" spans="1:16" s="128" customFormat="1" x14ac:dyDescent="0.3">
      <c r="A3" s="149" t="s">
        <v>201</v>
      </c>
      <c r="B3" s="150" t="s">
        <v>233</v>
      </c>
      <c r="C3" s="150"/>
      <c r="D3" s="150"/>
      <c r="F3" s="150" t="s">
        <v>232</v>
      </c>
      <c r="G3" s="150"/>
      <c r="H3" s="150"/>
      <c r="I3" s="150"/>
      <c r="J3" s="150"/>
      <c r="K3" s="150"/>
      <c r="L3" s="150"/>
      <c r="N3" s="150" t="s">
        <v>234</v>
      </c>
      <c r="O3" s="150"/>
      <c r="P3" s="150"/>
    </row>
    <row r="4" spans="1:16" s="126" customFormat="1" x14ac:dyDescent="0.3">
      <c r="A4" s="149"/>
      <c r="B4" s="112" t="s">
        <v>191</v>
      </c>
      <c r="C4" s="112" t="s">
        <v>193</v>
      </c>
      <c r="D4" s="112" t="s">
        <v>192</v>
      </c>
      <c r="F4" s="112" t="s">
        <v>194</v>
      </c>
      <c r="G4" s="112" t="s">
        <v>85</v>
      </c>
      <c r="H4" s="112" t="s">
        <v>165</v>
      </c>
      <c r="I4" s="112" t="s">
        <v>230</v>
      </c>
      <c r="J4" s="112" t="s">
        <v>185</v>
      </c>
      <c r="K4" s="112" t="s">
        <v>235</v>
      </c>
      <c r="L4" s="112" t="s">
        <v>236</v>
      </c>
      <c r="N4" s="112" t="s">
        <v>123</v>
      </c>
      <c r="O4" s="112" t="s">
        <v>124</v>
      </c>
      <c r="P4" s="125" t="s">
        <v>231</v>
      </c>
    </row>
    <row r="5" spans="1:16" s="126" customFormat="1" x14ac:dyDescent="0.3">
      <c r="A5" s="149"/>
      <c r="B5" s="112" t="s">
        <v>189</v>
      </c>
      <c r="C5" s="112" t="s">
        <v>190</v>
      </c>
      <c r="D5" s="112" t="s">
        <v>190</v>
      </c>
      <c r="F5" s="112" t="s">
        <v>190</v>
      </c>
      <c r="G5" s="112" t="s">
        <v>190</v>
      </c>
      <c r="H5" s="112" t="s">
        <v>45</v>
      </c>
      <c r="I5" s="112" t="s">
        <v>45</v>
      </c>
      <c r="J5" s="112" t="s">
        <v>189</v>
      </c>
      <c r="K5" s="112" t="s">
        <v>45</v>
      </c>
      <c r="L5" s="112" t="s">
        <v>45</v>
      </c>
      <c r="N5" s="127"/>
      <c r="O5" s="127"/>
      <c r="P5" s="127"/>
    </row>
    <row r="6" spans="1:16" x14ac:dyDescent="0.3">
      <c r="A6" t="s">
        <v>223</v>
      </c>
      <c r="B6" s="95">
        <v>11905</v>
      </c>
      <c r="C6" s="95">
        <v>350815</v>
      </c>
      <c r="D6" s="95">
        <v>373244.41</v>
      </c>
      <c r="F6" s="95">
        <v>75955.13</v>
      </c>
      <c r="G6" s="95">
        <v>6117.27</v>
      </c>
      <c r="H6" s="100">
        <v>7.0000000000000007E-2</v>
      </c>
      <c r="I6" s="100">
        <v>-0.1241</v>
      </c>
      <c r="J6" s="95">
        <v>204.94</v>
      </c>
      <c r="K6" s="100">
        <v>0.10929999999999999</v>
      </c>
      <c r="L6" s="100">
        <v>9.3399999999999997E-2</v>
      </c>
      <c r="N6" s="95">
        <v>28.08</v>
      </c>
      <c r="O6" s="95">
        <v>57.35</v>
      </c>
      <c r="P6" s="95">
        <v>57.35</v>
      </c>
    </row>
    <row r="7" spans="1:16" x14ac:dyDescent="0.3">
      <c r="A7" t="s">
        <v>221</v>
      </c>
      <c r="B7" s="95">
        <v>31615</v>
      </c>
      <c r="C7" s="95">
        <v>114069.28</v>
      </c>
      <c r="D7" s="95">
        <v>114821.83</v>
      </c>
      <c r="F7" s="95">
        <v>19282.830000000002</v>
      </c>
      <c r="G7" s="95">
        <v>1122.77</v>
      </c>
      <c r="H7" s="100">
        <v>-6.0299999999999999E-2</v>
      </c>
      <c r="I7" s="100">
        <v>-0.53359999999999996</v>
      </c>
      <c r="J7" s="95">
        <v>311.18</v>
      </c>
      <c r="K7" s="100">
        <v>6.7400000000000002E-2</v>
      </c>
      <c r="L7" s="100">
        <v>5.3199999999999997E-2</v>
      </c>
      <c r="N7" s="95">
        <v>25.38</v>
      </c>
      <c r="O7" s="95">
        <v>101.6</v>
      </c>
      <c r="P7" s="95">
        <v>5.3</v>
      </c>
    </row>
    <row r="8" spans="1:16" x14ac:dyDescent="0.3">
      <c r="A8" t="s">
        <v>224</v>
      </c>
      <c r="B8" s="95">
        <v>563.5</v>
      </c>
      <c r="C8" s="95">
        <v>138797.01</v>
      </c>
      <c r="D8" s="95">
        <v>133413.35</v>
      </c>
      <c r="F8" s="95">
        <v>35044.76</v>
      </c>
      <c r="G8" s="95">
        <v>4182.54</v>
      </c>
      <c r="H8" s="100">
        <v>5.6800000000000003E-2</v>
      </c>
      <c r="I8" s="100">
        <v>0.2374</v>
      </c>
      <c r="J8" s="95">
        <v>16.920000000000002</v>
      </c>
      <c r="K8" s="100">
        <v>0.1061</v>
      </c>
      <c r="L8" s="100">
        <v>8.8099999999999998E-2</v>
      </c>
      <c r="N8" s="95">
        <v>15.44</v>
      </c>
      <c r="O8" s="95">
        <v>33.18</v>
      </c>
      <c r="P8" s="95">
        <v>2.6</v>
      </c>
    </row>
    <row r="9" spans="1:16" x14ac:dyDescent="0.3">
      <c r="A9" t="s">
        <v>225</v>
      </c>
      <c r="B9" s="95">
        <v>1928.4</v>
      </c>
      <c r="C9" s="95">
        <v>36212.9</v>
      </c>
      <c r="D9" s="95">
        <v>34993.4</v>
      </c>
      <c r="F9" s="95">
        <v>21762.31</v>
      </c>
      <c r="G9" s="95">
        <v>2325.5</v>
      </c>
      <c r="H9" s="100">
        <v>9.0399999999999994E-2</v>
      </c>
      <c r="I9" s="100">
        <v>7.8600000000000003E-2</v>
      </c>
      <c r="J9" s="95">
        <v>127.92</v>
      </c>
      <c r="K9" s="100">
        <v>0.17580000000000001</v>
      </c>
      <c r="L9" s="100">
        <v>0.1333</v>
      </c>
      <c r="N9" s="95">
        <v>8.4600000000000009</v>
      </c>
      <c r="O9" s="95">
        <v>15.57</v>
      </c>
      <c r="P9" s="95">
        <v>1.95</v>
      </c>
    </row>
    <row r="10" spans="1:16" x14ac:dyDescent="0.3">
      <c r="A10" t="s">
        <v>222</v>
      </c>
      <c r="B10" s="95">
        <v>2070.1</v>
      </c>
      <c r="C10" s="95">
        <v>38827.86</v>
      </c>
      <c r="D10" s="95">
        <v>44371.86</v>
      </c>
      <c r="F10" s="95">
        <v>13980</v>
      </c>
      <c r="G10" s="95">
        <v>777.47</v>
      </c>
      <c r="H10" s="100">
        <v>-4.8399999999999999E-2</v>
      </c>
      <c r="I10" s="100">
        <v>1.49E-2</v>
      </c>
      <c r="J10" s="95">
        <v>36.409999999999997</v>
      </c>
      <c r="K10" s="100">
        <v>5.9700000000000003E-2</v>
      </c>
      <c r="L10" s="100">
        <v>4.5999999999999999E-2</v>
      </c>
      <c r="N10" s="95">
        <v>16.68</v>
      </c>
      <c r="O10" s="95">
        <v>49.94</v>
      </c>
      <c r="P10" s="95">
        <v>2.23</v>
      </c>
    </row>
    <row r="11" spans="1:16" x14ac:dyDescent="0.3">
      <c r="A11" t="s">
        <v>226</v>
      </c>
      <c r="B11" s="95">
        <v>1004.15</v>
      </c>
      <c r="C11" s="95">
        <v>23727.3</v>
      </c>
      <c r="D11" s="95">
        <v>28808.53</v>
      </c>
      <c r="F11" s="95">
        <v>8799.3700000000008</v>
      </c>
      <c r="G11" s="95">
        <v>195.62</v>
      </c>
      <c r="H11" s="100">
        <v>-5.0799999999999998E-2</v>
      </c>
      <c r="I11" s="100">
        <v>-0.48320000000000002</v>
      </c>
      <c r="J11" s="95">
        <v>15.84</v>
      </c>
      <c r="K11" s="100">
        <v>8.1000000000000003E-2</v>
      </c>
      <c r="L11" s="100">
        <v>5.0200000000000002E-2</v>
      </c>
      <c r="N11" s="95">
        <v>20.96</v>
      </c>
      <c r="O11" s="95">
        <v>121.19</v>
      </c>
      <c r="P11" s="95">
        <v>3.28</v>
      </c>
    </row>
    <row r="12" spans="1:16" x14ac:dyDescent="0.3">
      <c r="A12" t="s">
        <v>227</v>
      </c>
      <c r="B12" s="95">
        <v>5251.5</v>
      </c>
      <c r="C12" s="95">
        <v>40577.42</v>
      </c>
      <c r="D12" s="95">
        <v>45898.87</v>
      </c>
      <c r="F12" s="95">
        <v>11403.74</v>
      </c>
      <c r="G12" s="95">
        <v>631.12</v>
      </c>
      <c r="H12" s="100">
        <v>1.5599999999999999E-2</v>
      </c>
      <c r="I12" s="100">
        <v>-8.4500000000000006E-2</v>
      </c>
      <c r="J12" s="95">
        <v>93.25</v>
      </c>
      <c r="K12" s="100">
        <v>0.158</v>
      </c>
      <c r="L12" s="100">
        <v>0.15939999999999999</v>
      </c>
      <c r="N12" s="95">
        <v>23</v>
      </c>
      <c r="O12" s="95">
        <v>64.290000000000006</v>
      </c>
      <c r="P12" s="95">
        <v>7.34</v>
      </c>
    </row>
    <row r="13" spans="1:16" x14ac:dyDescent="0.3">
      <c r="A13" t="s">
        <v>228</v>
      </c>
      <c r="B13" s="95">
        <v>1384</v>
      </c>
      <c r="C13" s="95">
        <v>10658.18</v>
      </c>
      <c r="D13" s="95">
        <v>14020.28</v>
      </c>
      <c r="F13" s="95">
        <v>9214.49</v>
      </c>
      <c r="G13" s="95">
        <v>325</v>
      </c>
      <c r="H13" s="100">
        <v>-4.6399999999999997E-2</v>
      </c>
      <c r="I13" s="100">
        <v>-0.22109999999999999</v>
      </c>
      <c r="J13" s="95">
        <v>38.340000000000003</v>
      </c>
      <c r="K13" s="100">
        <v>7.0499999999999993E-2</v>
      </c>
      <c r="L13" s="100">
        <v>4.7500000000000001E-2</v>
      </c>
      <c r="N13" s="95">
        <v>10.66</v>
      </c>
      <c r="O13" s="95">
        <v>32.79</v>
      </c>
      <c r="P13" s="95">
        <v>1.52</v>
      </c>
    </row>
    <row r="14" spans="1:16" x14ac:dyDescent="0.3">
      <c r="A14" t="s">
        <v>229</v>
      </c>
      <c r="B14" s="95">
        <v>357.45</v>
      </c>
      <c r="C14" s="95">
        <v>12766.55</v>
      </c>
      <c r="D14" s="95">
        <v>16658.009999999998</v>
      </c>
      <c r="E14" s="95">
        <v>10356.67</v>
      </c>
      <c r="F14" s="95">
        <v>10356.67</v>
      </c>
      <c r="G14" s="95">
        <v>21.84</v>
      </c>
      <c r="H14" s="100">
        <v>-3.5099999999999999E-2</v>
      </c>
      <c r="I14" s="100">
        <v>-0.84740000000000004</v>
      </c>
      <c r="J14" s="95">
        <v>0.61</v>
      </c>
      <c r="K14" s="100">
        <v>3.95E-2</v>
      </c>
      <c r="L14" s="100">
        <v>2.3999999999999998E-3</v>
      </c>
      <c r="N14" s="95">
        <v>11.97</v>
      </c>
      <c r="O14" s="95">
        <v>584.54999999999995</v>
      </c>
      <c r="P14" s="95">
        <v>1.42</v>
      </c>
    </row>
    <row r="15" spans="1:16" x14ac:dyDescent="0.3">
      <c r="B15" s="95"/>
      <c r="C15" s="95"/>
      <c r="D15" s="95"/>
      <c r="F15" s="95"/>
      <c r="G15" s="95"/>
      <c r="H15" s="100"/>
      <c r="I15" s="100"/>
      <c r="N15" s="95"/>
      <c r="O15" s="95"/>
      <c r="P15" s="95"/>
    </row>
    <row r="16" spans="1:16" x14ac:dyDescent="0.3">
      <c r="G16" s="114" t="s">
        <v>90</v>
      </c>
      <c r="H16" s="129">
        <f>MAX(H6:H14)</f>
        <v>9.0399999999999994E-2</v>
      </c>
      <c r="I16" s="129">
        <f t="shared" ref="I16:P16" si="0">MAX(I6:I14)</f>
        <v>0.2374</v>
      </c>
      <c r="J16" s="130">
        <f t="shared" si="0"/>
        <v>311.18</v>
      </c>
      <c r="K16" s="129">
        <f t="shared" si="0"/>
        <v>0.17580000000000001</v>
      </c>
      <c r="L16" s="129">
        <f t="shared" si="0"/>
        <v>0.15939999999999999</v>
      </c>
      <c r="M16" s="129">
        <f t="shared" si="0"/>
        <v>0</v>
      </c>
      <c r="N16" s="131">
        <f t="shared" si="0"/>
        <v>28.08</v>
      </c>
      <c r="O16" s="131">
        <f t="shared" si="0"/>
        <v>584.54999999999995</v>
      </c>
      <c r="P16" s="131">
        <f t="shared" si="0"/>
        <v>57.35</v>
      </c>
    </row>
    <row r="17" spans="7:16" x14ac:dyDescent="0.3">
      <c r="G17" s="114" t="s">
        <v>195</v>
      </c>
      <c r="H17" s="129">
        <f>AVERAGE(H6:H14)</f>
        <v>-9.1111111111111178E-4</v>
      </c>
      <c r="I17" s="129">
        <f t="shared" ref="I17:P17" si="1">AVERAGE(I6:I14)</f>
        <v>-0.21811111111111112</v>
      </c>
      <c r="J17" s="130">
        <f t="shared" si="1"/>
        <v>93.934444444444438</v>
      </c>
      <c r="K17" s="129">
        <f t="shared" si="1"/>
        <v>9.6366666666666656E-2</v>
      </c>
      <c r="L17" s="129">
        <f t="shared" si="1"/>
        <v>7.4833333333333321E-2</v>
      </c>
      <c r="M17" s="129"/>
      <c r="N17" s="131">
        <f t="shared" si="1"/>
        <v>17.847777777777779</v>
      </c>
      <c r="O17" s="131">
        <f t="shared" si="1"/>
        <v>117.8288888888889</v>
      </c>
      <c r="P17" s="131">
        <f t="shared" si="1"/>
        <v>9.2211111111111119</v>
      </c>
    </row>
    <row r="18" spans="7:16" x14ac:dyDescent="0.3">
      <c r="G18" s="114" t="s">
        <v>162</v>
      </c>
      <c r="H18" s="129">
        <f>MEDIAN(H6:H14)</f>
        <v>-3.5099999999999999E-2</v>
      </c>
      <c r="I18" s="129">
        <f t="shared" ref="I18:P18" si="2">MEDIAN(I6:I14)</f>
        <v>-0.1241</v>
      </c>
      <c r="J18" s="130">
        <f t="shared" si="2"/>
        <v>38.340000000000003</v>
      </c>
      <c r="K18" s="129">
        <f t="shared" si="2"/>
        <v>8.1000000000000003E-2</v>
      </c>
      <c r="L18" s="129">
        <f t="shared" si="2"/>
        <v>5.3199999999999997E-2</v>
      </c>
      <c r="M18" s="129"/>
      <c r="N18" s="131">
        <f t="shared" si="2"/>
        <v>16.68</v>
      </c>
      <c r="O18" s="131">
        <f t="shared" si="2"/>
        <v>57.35</v>
      </c>
      <c r="P18" s="131">
        <f t="shared" si="2"/>
        <v>2.6</v>
      </c>
    </row>
    <row r="19" spans="7:16" x14ac:dyDescent="0.3">
      <c r="G19" s="114" t="s">
        <v>91</v>
      </c>
      <c r="H19" s="129">
        <f>MIN(H6:H14)</f>
        <v>-6.0299999999999999E-2</v>
      </c>
      <c r="I19" s="129">
        <f t="shared" ref="I19:P19" si="3">MIN(I6:I14)</f>
        <v>-0.84740000000000004</v>
      </c>
      <c r="J19" s="130">
        <f t="shared" si="3"/>
        <v>0.61</v>
      </c>
      <c r="K19" s="129">
        <f t="shared" si="3"/>
        <v>3.95E-2</v>
      </c>
      <c r="L19" s="129">
        <f t="shared" si="3"/>
        <v>2.3999999999999998E-3</v>
      </c>
      <c r="M19" s="129">
        <f t="shared" si="3"/>
        <v>0</v>
      </c>
      <c r="N19" s="131">
        <f t="shared" si="3"/>
        <v>8.4600000000000009</v>
      </c>
      <c r="O19" s="131">
        <f t="shared" si="3"/>
        <v>15.57</v>
      </c>
      <c r="P19" s="131">
        <f t="shared" si="3"/>
        <v>1.42</v>
      </c>
    </row>
    <row r="20" spans="7:16" x14ac:dyDescent="0.3">
      <c r="H20" s="93"/>
      <c r="I20" s="93"/>
      <c r="K20" s="95"/>
      <c r="L20" s="95"/>
    </row>
    <row r="21" spans="7:16" x14ac:dyDescent="0.3">
      <c r="H21" s="93"/>
      <c r="I21" s="93"/>
      <c r="K21" s="95"/>
      <c r="L21" s="95"/>
    </row>
    <row r="22" spans="7:16" x14ac:dyDescent="0.3">
      <c r="K22" s="95"/>
      <c r="L22" s="95"/>
    </row>
    <row r="23" spans="7:16" x14ac:dyDescent="0.3">
      <c r="K23" s="95"/>
      <c r="L23" s="95"/>
    </row>
    <row r="24" spans="7:16" x14ac:dyDescent="0.3">
      <c r="K24" s="95"/>
      <c r="L24" s="95"/>
    </row>
    <row r="25" spans="7:16" x14ac:dyDescent="0.3">
      <c r="K25" s="95"/>
      <c r="L25" s="95"/>
    </row>
    <row r="26" spans="7:16" x14ac:dyDescent="0.3">
      <c r="K26" s="95"/>
      <c r="L26" s="95"/>
    </row>
    <row r="27" spans="7:16" x14ac:dyDescent="0.3">
      <c r="K27" s="95"/>
      <c r="L27" s="95"/>
    </row>
  </sheetData>
  <mergeCells count="4">
    <mergeCell ref="A3:A5"/>
    <mergeCell ref="B3:D3"/>
    <mergeCell ref="N3:P3"/>
    <mergeCell ref="F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9108-58E0-4D57-94B9-7B36B659C488}">
  <dimension ref="B1:J28"/>
  <sheetViews>
    <sheetView showGridLines="0" workbookViewId="0">
      <selection activeCell="I12" sqref="I12"/>
    </sheetView>
  </sheetViews>
  <sheetFormatPr defaultRowHeight="14.4" x14ac:dyDescent="0.3"/>
  <cols>
    <col min="1" max="1" width="3" customWidth="1"/>
    <col min="3" max="6" width="12.6640625" customWidth="1"/>
    <col min="7" max="7" width="15.109375" bestFit="1" customWidth="1"/>
    <col min="9" max="9" width="17.6640625" bestFit="1" customWidth="1"/>
  </cols>
  <sheetData>
    <row r="1" spans="2:10" s="1" customFormat="1" x14ac:dyDescent="0.3">
      <c r="B1" s="1" t="s">
        <v>87</v>
      </c>
    </row>
    <row r="3" spans="2:10" x14ac:dyDescent="0.3">
      <c r="B3" s="31" t="s">
        <v>88</v>
      </c>
      <c r="C3" s="31" t="s">
        <v>89</v>
      </c>
      <c r="D3" s="31" t="s">
        <v>90</v>
      </c>
      <c r="E3" s="31" t="s">
        <v>91</v>
      </c>
      <c r="F3" s="31" t="s">
        <v>92</v>
      </c>
      <c r="G3" s="31" t="s">
        <v>93</v>
      </c>
    </row>
    <row r="4" spans="2:10" s="30" customFormat="1" x14ac:dyDescent="0.3">
      <c r="B4" s="32">
        <v>2000</v>
      </c>
      <c r="C4" s="33">
        <v>5209.54</v>
      </c>
      <c r="D4" s="33">
        <v>6150.69</v>
      </c>
      <c r="E4" s="33">
        <v>3491.55</v>
      </c>
      <c r="F4" s="33">
        <v>3972.12</v>
      </c>
      <c r="G4" s="34"/>
    </row>
    <row r="5" spans="2:10" s="30" customFormat="1" x14ac:dyDescent="0.3">
      <c r="B5" s="32">
        <v>2001</v>
      </c>
      <c r="C5" s="33">
        <v>3990.65</v>
      </c>
      <c r="D5" s="33">
        <v>4462.1099999999997</v>
      </c>
      <c r="E5" s="33">
        <v>2594.87</v>
      </c>
      <c r="F5" s="33">
        <v>3262.33</v>
      </c>
      <c r="G5" s="35">
        <f>(F5-F4)/F4</f>
        <v>-0.17869299014128476</v>
      </c>
      <c r="I5" s="36" t="s">
        <v>94</v>
      </c>
      <c r="J5" s="37">
        <f>AVERAGE(G4:G28)</f>
        <v>0.16997966308012447</v>
      </c>
    </row>
    <row r="6" spans="2:10" s="30" customFormat="1" x14ac:dyDescent="0.3">
      <c r="B6" s="32">
        <v>2002</v>
      </c>
      <c r="C6" s="33">
        <v>3262.01</v>
      </c>
      <c r="D6" s="33">
        <v>3758.27</v>
      </c>
      <c r="E6" s="33">
        <v>2828.48</v>
      </c>
      <c r="F6" s="33">
        <v>3377.28</v>
      </c>
      <c r="G6" s="35">
        <f t="shared" ref="G6:G27" si="0">(F6-F5)/F5</f>
        <v>3.5235552503885346E-2</v>
      </c>
      <c r="I6" s="38" t="s">
        <v>95</v>
      </c>
      <c r="J6" s="39">
        <v>9.7000000000000003E-3</v>
      </c>
    </row>
    <row r="7" spans="2:10" s="30" customFormat="1" x14ac:dyDescent="0.3">
      <c r="B7" s="32">
        <v>2003</v>
      </c>
      <c r="C7" s="33">
        <v>3383.85</v>
      </c>
      <c r="D7" s="33">
        <v>5920.76</v>
      </c>
      <c r="E7" s="33">
        <v>2904.44</v>
      </c>
      <c r="F7" s="33">
        <v>5838.96</v>
      </c>
      <c r="G7" s="35">
        <f t="shared" si="0"/>
        <v>0.72889425810119379</v>
      </c>
      <c r="I7" s="40" t="s">
        <v>96</v>
      </c>
      <c r="J7" s="41">
        <f>SUM(J5:J6)</f>
        <v>0.17967966308012445</v>
      </c>
    </row>
    <row r="8" spans="2:10" s="30" customFormat="1" x14ac:dyDescent="0.3">
      <c r="B8" s="32">
        <v>2004</v>
      </c>
      <c r="C8" s="33">
        <v>5872.48</v>
      </c>
      <c r="D8" s="33">
        <v>6617.15</v>
      </c>
      <c r="E8" s="33">
        <v>4227.5</v>
      </c>
      <c r="F8" s="33">
        <v>6602.69</v>
      </c>
      <c r="G8" s="35">
        <f t="shared" si="0"/>
        <v>0.13079897790017392</v>
      </c>
    </row>
    <row r="9" spans="2:10" s="30" customFormat="1" x14ac:dyDescent="0.3">
      <c r="B9" s="32">
        <v>2005</v>
      </c>
      <c r="C9" s="33">
        <v>6626.49</v>
      </c>
      <c r="D9" s="33">
        <v>9442.98</v>
      </c>
      <c r="E9" s="33">
        <v>6069.33</v>
      </c>
      <c r="F9" s="33">
        <v>9397.93</v>
      </c>
      <c r="G9" s="35">
        <f t="shared" si="0"/>
        <v>0.42334866546816535</v>
      </c>
    </row>
    <row r="10" spans="2:10" s="30" customFormat="1" x14ac:dyDescent="0.3">
      <c r="B10" s="32">
        <v>2006</v>
      </c>
      <c r="C10" s="33">
        <v>9422.49</v>
      </c>
      <c r="D10" s="33">
        <v>14035.3</v>
      </c>
      <c r="E10" s="33">
        <v>8799.01</v>
      </c>
      <c r="F10" s="33">
        <v>13786.91</v>
      </c>
      <c r="G10" s="35">
        <f t="shared" si="0"/>
        <v>0.46701560875639631</v>
      </c>
    </row>
    <row r="11" spans="2:10" s="30" customFormat="1" x14ac:dyDescent="0.3">
      <c r="B11" s="32">
        <v>2007</v>
      </c>
      <c r="C11" s="33">
        <v>13827.77</v>
      </c>
      <c r="D11" s="33">
        <v>20498.11</v>
      </c>
      <c r="E11" s="33">
        <v>12316.1</v>
      </c>
      <c r="F11" s="33">
        <v>20286.990000000002</v>
      </c>
      <c r="G11" s="35">
        <f t="shared" si="0"/>
        <v>0.4714675006944995</v>
      </c>
    </row>
    <row r="12" spans="2:10" s="30" customFormat="1" x14ac:dyDescent="0.3">
      <c r="B12" s="32">
        <v>2008</v>
      </c>
      <c r="C12" s="33">
        <v>20325.27</v>
      </c>
      <c r="D12" s="33">
        <v>21206.77</v>
      </c>
      <c r="E12" s="33">
        <v>7697.39</v>
      </c>
      <c r="F12" s="33">
        <v>9647.31</v>
      </c>
      <c r="G12" s="35">
        <f t="shared" si="0"/>
        <v>-0.52445828582751808</v>
      </c>
    </row>
    <row r="13" spans="2:10" s="30" customFormat="1" x14ac:dyDescent="0.3">
      <c r="B13" s="32">
        <v>2009</v>
      </c>
      <c r="C13" s="33">
        <v>9720.5499999999993</v>
      </c>
      <c r="D13" s="33">
        <v>17530.939999999999</v>
      </c>
      <c r="E13" s="33">
        <v>8047.17</v>
      </c>
      <c r="F13" s="33">
        <v>17464.810000000001</v>
      </c>
      <c r="G13" s="35">
        <f t="shared" si="0"/>
        <v>0.81032951154259603</v>
      </c>
    </row>
    <row r="14" spans="2:10" s="30" customFormat="1" x14ac:dyDescent="0.3">
      <c r="B14" s="32">
        <v>2010</v>
      </c>
      <c r="C14" s="33">
        <v>17473.45</v>
      </c>
      <c r="D14" s="33">
        <v>21108.639999999999</v>
      </c>
      <c r="E14" s="33">
        <v>15651.99</v>
      </c>
      <c r="F14" s="33">
        <v>20509.09</v>
      </c>
      <c r="G14" s="35">
        <f t="shared" si="0"/>
        <v>0.1743093683813336</v>
      </c>
    </row>
    <row r="15" spans="2:10" s="30" customFormat="1" x14ac:dyDescent="0.3">
      <c r="B15" s="32">
        <v>2011</v>
      </c>
      <c r="C15" s="33">
        <v>20621.61</v>
      </c>
      <c r="D15" s="33">
        <v>20664.8</v>
      </c>
      <c r="E15" s="33">
        <v>15135.86</v>
      </c>
      <c r="F15" s="33">
        <v>15454.92</v>
      </c>
      <c r="G15" s="35">
        <f t="shared" si="0"/>
        <v>-0.24643560489519525</v>
      </c>
    </row>
    <row r="16" spans="2:10" s="30" customFormat="1" x14ac:dyDescent="0.3">
      <c r="B16" s="32">
        <v>2012</v>
      </c>
      <c r="C16" s="33">
        <v>15534.67</v>
      </c>
      <c r="D16" s="33">
        <v>19612.18</v>
      </c>
      <c r="E16" s="33">
        <v>15358.02</v>
      </c>
      <c r="F16" s="33">
        <v>19426.71</v>
      </c>
      <c r="G16" s="35">
        <f t="shared" si="0"/>
        <v>0.25699194819513782</v>
      </c>
    </row>
    <row r="17" spans="2:7" s="30" customFormat="1" x14ac:dyDescent="0.3">
      <c r="B17" s="32">
        <v>2013</v>
      </c>
      <c r="C17" s="33">
        <v>19513.45</v>
      </c>
      <c r="D17" s="33">
        <v>21483.74</v>
      </c>
      <c r="E17" s="33">
        <v>17448.71</v>
      </c>
      <c r="F17" s="33">
        <v>21170.68</v>
      </c>
      <c r="G17" s="35">
        <f t="shared" si="0"/>
        <v>8.9771762691675597E-2</v>
      </c>
    </row>
    <row r="18" spans="2:7" s="30" customFormat="1" x14ac:dyDescent="0.3">
      <c r="B18" s="32">
        <v>2014</v>
      </c>
      <c r="C18" s="33">
        <v>21222.19</v>
      </c>
      <c r="D18" s="33">
        <v>28822.37</v>
      </c>
      <c r="E18" s="33">
        <v>19963.12</v>
      </c>
      <c r="F18" s="33">
        <v>27499.42</v>
      </c>
      <c r="G18" s="35">
        <f t="shared" si="0"/>
        <v>0.29893890985079352</v>
      </c>
    </row>
    <row r="19" spans="2:7" s="30" customFormat="1" x14ac:dyDescent="0.3">
      <c r="B19" s="32">
        <v>2015</v>
      </c>
      <c r="C19" s="33">
        <v>27485.77</v>
      </c>
      <c r="D19" s="33">
        <v>30024.74</v>
      </c>
      <c r="E19" s="33">
        <v>24833.54</v>
      </c>
      <c r="F19" s="33">
        <v>26117.54</v>
      </c>
      <c r="G19" s="35">
        <f t="shared" si="0"/>
        <v>-5.0251241662551335E-2</v>
      </c>
    </row>
    <row r="20" spans="2:7" s="30" customFormat="1" x14ac:dyDescent="0.3">
      <c r="B20" s="32">
        <v>2016</v>
      </c>
      <c r="C20" s="33">
        <v>26101.5</v>
      </c>
      <c r="D20" s="33">
        <v>29077.279999999999</v>
      </c>
      <c r="E20" s="33">
        <v>22494.61</v>
      </c>
      <c r="F20" s="33">
        <v>26626.46</v>
      </c>
      <c r="G20" s="35">
        <f t="shared" si="0"/>
        <v>1.9485755549718629E-2</v>
      </c>
    </row>
    <row r="21" spans="2:7" s="30" customFormat="1" x14ac:dyDescent="0.3">
      <c r="B21" s="32">
        <v>2017</v>
      </c>
      <c r="C21" s="33">
        <v>26711.15</v>
      </c>
      <c r="D21" s="33">
        <v>34137.97</v>
      </c>
      <c r="E21" s="33">
        <v>26447.06</v>
      </c>
      <c r="F21" s="33">
        <v>34056.83</v>
      </c>
      <c r="G21" s="35">
        <f t="shared" si="0"/>
        <v>0.27905962715283983</v>
      </c>
    </row>
    <row r="22" spans="2:7" s="30" customFormat="1" x14ac:dyDescent="0.3">
      <c r="B22" s="32">
        <v>2018</v>
      </c>
      <c r="C22" s="33">
        <v>34059.99</v>
      </c>
      <c r="D22" s="33">
        <v>38989.65</v>
      </c>
      <c r="E22" s="33">
        <v>32483.84</v>
      </c>
      <c r="F22" s="33">
        <v>36068.33</v>
      </c>
      <c r="G22" s="35">
        <f t="shared" si="0"/>
        <v>5.9063042567379286E-2</v>
      </c>
    </row>
    <row r="23" spans="2:7" s="30" customFormat="1" x14ac:dyDescent="0.3">
      <c r="B23" s="32">
        <v>2019</v>
      </c>
      <c r="C23" s="33">
        <v>36161.800000000003</v>
      </c>
      <c r="D23" s="33">
        <v>41809.96</v>
      </c>
      <c r="E23" s="33">
        <v>35287.160000000003</v>
      </c>
      <c r="F23" s="33">
        <v>41253.74</v>
      </c>
      <c r="G23" s="35">
        <f t="shared" si="0"/>
        <v>0.14376629026073556</v>
      </c>
    </row>
    <row r="24" spans="2:7" x14ac:dyDescent="0.3">
      <c r="B24" s="32">
        <v>2020</v>
      </c>
      <c r="C24" s="33">
        <v>41349.360000000001</v>
      </c>
      <c r="D24" s="33">
        <v>47896.97</v>
      </c>
      <c r="E24" s="33">
        <v>25638.9</v>
      </c>
      <c r="F24" s="33">
        <v>47751.33</v>
      </c>
      <c r="G24" s="35">
        <f t="shared" si="0"/>
        <v>0.15750305305652298</v>
      </c>
    </row>
    <row r="25" spans="2:7" x14ac:dyDescent="0.3">
      <c r="B25" s="32">
        <v>2021</v>
      </c>
      <c r="C25" s="33">
        <v>47785.279999999999</v>
      </c>
      <c r="D25" s="33">
        <v>62245.43</v>
      </c>
      <c r="E25" s="33">
        <v>46160.46</v>
      </c>
      <c r="F25" s="33">
        <v>58253.82</v>
      </c>
      <c r="G25" s="35">
        <f t="shared" si="0"/>
        <v>0.21994130844104232</v>
      </c>
    </row>
    <row r="26" spans="2:7" x14ac:dyDescent="0.3">
      <c r="B26" s="32">
        <v>2022</v>
      </c>
      <c r="C26" s="33">
        <v>58310.09</v>
      </c>
      <c r="D26" s="33">
        <v>63583.07</v>
      </c>
      <c r="E26" s="33">
        <v>50921.22</v>
      </c>
      <c r="F26" s="33">
        <v>60840.74</v>
      </c>
      <c r="G26" s="35">
        <f t="shared" si="0"/>
        <v>4.4407731544472077E-2</v>
      </c>
    </row>
    <row r="27" spans="2:7" x14ac:dyDescent="0.3">
      <c r="B27" s="32">
        <v>2023</v>
      </c>
      <c r="C27" s="33">
        <v>60871.24</v>
      </c>
      <c r="D27" s="33">
        <v>72484.34</v>
      </c>
      <c r="E27" s="33">
        <v>57084.91</v>
      </c>
      <c r="F27" s="33">
        <v>72240.259999999995</v>
      </c>
      <c r="G27" s="35">
        <f t="shared" si="0"/>
        <v>0.18736655734299085</v>
      </c>
    </row>
    <row r="28" spans="2:7" x14ac:dyDescent="0.3">
      <c r="B28" s="32">
        <v>2024</v>
      </c>
      <c r="C28" s="33">
        <v>72218.39</v>
      </c>
      <c r="D28" s="33">
        <v>85978.25</v>
      </c>
      <c r="E28" s="33">
        <v>70001.600000000006</v>
      </c>
      <c r="F28" s="33">
        <v>78139.009999999995</v>
      </c>
      <c r="G28" s="35">
        <f>(F28-F27)/F27</f>
        <v>8.1654606447983447E-2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B4F1-651A-4DB9-A316-26182F42F3A8}">
  <dimension ref="A1:B19"/>
  <sheetViews>
    <sheetView showGridLines="0" workbookViewId="0">
      <selection activeCell="B4" sqref="B4:B13"/>
    </sheetView>
  </sheetViews>
  <sheetFormatPr defaultRowHeight="14.4" x14ac:dyDescent="0.3"/>
  <cols>
    <col min="1" max="1" width="8.88671875" style="30"/>
    <col min="2" max="2" width="17.21875" style="30" bestFit="1" customWidth="1"/>
    <col min="3" max="16384" width="8.88671875" style="30"/>
  </cols>
  <sheetData>
    <row r="1" spans="1:2" s="1" customFormat="1" x14ac:dyDescent="0.3">
      <c r="A1" s="1" t="s">
        <v>237</v>
      </c>
    </row>
    <row r="3" spans="1:2" x14ac:dyDescent="0.3">
      <c r="A3" s="140" t="s">
        <v>239</v>
      </c>
      <c r="B3" s="140" t="s">
        <v>238</v>
      </c>
    </row>
    <row r="4" spans="1:2" x14ac:dyDescent="0.3">
      <c r="A4" s="141">
        <v>2015</v>
      </c>
      <c r="B4" s="142">
        <v>7.3999999999999996E-2</v>
      </c>
    </row>
    <row r="5" spans="1:2" x14ac:dyDescent="0.3">
      <c r="A5" s="141">
        <v>2016</v>
      </c>
      <c r="B5" s="142">
        <v>8.3000000000000004E-2</v>
      </c>
    </row>
    <row r="6" spans="1:2" x14ac:dyDescent="0.3">
      <c r="A6" s="141">
        <v>2017</v>
      </c>
      <c r="B6" s="142">
        <v>8.3000000000000004E-2</v>
      </c>
    </row>
    <row r="7" spans="1:2" x14ac:dyDescent="0.3">
      <c r="A7" s="141">
        <v>2018</v>
      </c>
      <c r="B7" s="142">
        <v>6.8000000000000005E-2</v>
      </c>
    </row>
    <row r="8" spans="1:2" x14ac:dyDescent="0.3">
      <c r="A8" s="141">
        <v>2019</v>
      </c>
      <c r="B8" s="142">
        <v>6.5000000000000002E-2</v>
      </c>
    </row>
    <row r="9" spans="1:2" x14ac:dyDescent="0.3">
      <c r="A9" s="141">
        <v>2020</v>
      </c>
      <c r="B9" s="142">
        <v>3.9E-2</v>
      </c>
    </row>
    <row r="10" spans="1:2" x14ac:dyDescent="0.3">
      <c r="A10" s="141">
        <v>2021</v>
      </c>
      <c r="B10" s="142">
        <v>-5.8000000000000003E-2</v>
      </c>
    </row>
    <row r="11" spans="1:2" x14ac:dyDescent="0.3">
      <c r="A11" s="141">
        <v>2022</v>
      </c>
      <c r="B11" s="142">
        <v>9.7000000000000003E-2</v>
      </c>
    </row>
    <row r="12" spans="1:2" x14ac:dyDescent="0.3">
      <c r="A12" s="141">
        <v>2023</v>
      </c>
      <c r="B12" s="142">
        <v>7.5999999999999998E-2</v>
      </c>
    </row>
    <row r="13" spans="1:2" x14ac:dyDescent="0.3">
      <c r="A13" s="141">
        <v>2024</v>
      </c>
      <c r="B13" s="142">
        <v>9.1999999999999998E-2</v>
      </c>
    </row>
    <row r="14" spans="1:2" x14ac:dyDescent="0.3">
      <c r="B14" s="143"/>
    </row>
    <row r="15" spans="1:2" x14ac:dyDescent="0.3">
      <c r="B15" s="143"/>
    </row>
    <row r="16" spans="1:2" x14ac:dyDescent="0.3">
      <c r="A16" s="139" t="s">
        <v>90</v>
      </c>
      <c r="B16" s="144">
        <f>MAX(B4:B13)</f>
        <v>9.7000000000000003E-2</v>
      </c>
    </row>
    <row r="17" spans="1:2" x14ac:dyDescent="0.3">
      <c r="A17" s="139" t="s">
        <v>195</v>
      </c>
      <c r="B17" s="144">
        <f>AVERAGE(B4:B13)</f>
        <v>6.189999999999999E-2</v>
      </c>
    </row>
    <row r="18" spans="1:2" x14ac:dyDescent="0.3">
      <c r="A18" s="139" t="s">
        <v>162</v>
      </c>
      <c r="B18" s="144">
        <f>MEDIAN(B4:B13)</f>
        <v>7.4999999999999997E-2</v>
      </c>
    </row>
    <row r="19" spans="1:2" x14ac:dyDescent="0.3">
      <c r="A19" s="139" t="s">
        <v>91</v>
      </c>
      <c r="B19" s="144">
        <f>MIN(B4:B13)</f>
        <v>-5.8000000000000003E-2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1227-16C8-4859-98CE-0D04FAD58A63}">
  <dimension ref="A1:H10"/>
  <sheetViews>
    <sheetView showGridLines="0" tabSelected="1" workbookViewId="0">
      <selection activeCell="J12" sqref="J12"/>
    </sheetView>
  </sheetViews>
  <sheetFormatPr defaultRowHeight="14.4" x14ac:dyDescent="0.3"/>
  <cols>
    <col min="1" max="3" width="3" customWidth="1"/>
    <col min="4" max="4" width="26.33203125" customWidth="1"/>
    <col min="5" max="5" width="7.33203125" style="7" bestFit="1" customWidth="1"/>
    <col min="6" max="6" width="16.33203125" bestFit="1" customWidth="1"/>
    <col min="7" max="7" width="11.33203125" bestFit="1" customWidth="1"/>
  </cols>
  <sheetData>
    <row r="1" spans="1:8" s="1" customFormat="1" x14ac:dyDescent="0.3">
      <c r="A1" s="1" t="s">
        <v>104</v>
      </c>
      <c r="E1" s="45" t="s">
        <v>1</v>
      </c>
    </row>
    <row r="2" spans="1:8" s="43" customFormat="1" x14ac:dyDescent="0.3">
      <c r="E2" s="44"/>
    </row>
    <row r="3" spans="1:8" x14ac:dyDescent="0.3">
      <c r="A3" s="2" t="s">
        <v>107</v>
      </c>
      <c r="E3" s="7" t="s">
        <v>8</v>
      </c>
      <c r="F3" s="46">
        <v>504089</v>
      </c>
      <c r="H3" s="27"/>
    </row>
    <row r="4" spans="1:8" x14ac:dyDescent="0.3">
      <c r="A4" s="2"/>
      <c r="F4" s="46"/>
      <c r="H4" s="27"/>
    </row>
    <row r="5" spans="1:8" x14ac:dyDescent="0.3">
      <c r="A5" s="2" t="s">
        <v>242</v>
      </c>
      <c r="E5" s="7" t="s">
        <v>5</v>
      </c>
      <c r="F5" s="46">
        <f>'Data Sheet'!F9</f>
        <v>9816.2999999999993</v>
      </c>
    </row>
    <row r="6" spans="1:8" ht="28.8" x14ac:dyDescent="0.3">
      <c r="B6" t="s">
        <v>105</v>
      </c>
      <c r="D6" s="83" t="s">
        <v>106</v>
      </c>
      <c r="E6" s="145" t="s">
        <v>5</v>
      </c>
      <c r="F6" s="27">
        <f>F3*F5</f>
        <v>4948288850.6999998</v>
      </c>
    </row>
    <row r="8" spans="1:8" ht="28.8" x14ac:dyDescent="0.3">
      <c r="B8" t="s">
        <v>108</v>
      </c>
      <c r="D8" s="83" t="s">
        <v>109</v>
      </c>
      <c r="E8" s="7" t="s">
        <v>110</v>
      </c>
      <c r="F8" s="46">
        <f>ROUND((F6/'Data Sheet'!F4),0)</f>
        <v>499759</v>
      </c>
    </row>
    <row r="10" spans="1:8" ht="28.8" x14ac:dyDescent="0.3">
      <c r="B10" t="s">
        <v>111</v>
      </c>
      <c r="D10" s="83" t="s">
        <v>112</v>
      </c>
      <c r="E10" s="7" t="s">
        <v>240</v>
      </c>
      <c r="F10" s="27">
        <f>F3-F8</f>
        <v>4330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Sheet</vt:lpstr>
      <vt:lpstr>IS</vt:lpstr>
      <vt:lpstr>Plan</vt:lpstr>
      <vt:lpstr>Finance</vt:lpstr>
      <vt:lpstr>Synergy</vt:lpstr>
      <vt:lpstr>Accretion-Dilution</vt:lpstr>
      <vt:lpstr>Ratios</vt:lpstr>
      <vt:lpstr>CCA</vt:lpstr>
      <vt:lpstr>Industry Analysis</vt:lpstr>
      <vt:lpstr>Rm</vt:lpstr>
      <vt:lpstr>TV</vt:lpstr>
      <vt:lpstr>Option Rollover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Taniya Chaudhari</dc:creator>
  <cp:keywords/>
  <dc:description/>
  <cp:lastModifiedBy>Taniya Chaudhari</cp:lastModifiedBy>
  <cp:revision/>
  <dcterms:created xsi:type="dcterms:W3CDTF">2025-05-15T06:13:26Z</dcterms:created>
  <dcterms:modified xsi:type="dcterms:W3CDTF">2025-05-30T09:19:52Z</dcterms:modified>
  <cp:category/>
  <cp:contentStatus/>
</cp:coreProperties>
</file>